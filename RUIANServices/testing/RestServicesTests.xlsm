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5" yWindow="120" windowWidth="12420" windowHeight="3990" tabRatio="701"/>
  </bookViews>
  <sheets>
    <sheet name="Úvod" sheetId="7" r:id="rId1"/>
    <sheet name="Geokódování" sheetId="2" r:id="rId2"/>
    <sheet name="Fulltextové vyhledávání" sheetId="3" r:id="rId3"/>
    <sheet name="Sestavení adresy" sheetId="1" r:id="rId4"/>
    <sheet name="Ověření adresy" sheetId="4" r:id="rId5"/>
    <sheet name="Blízké adresy" sheetId="5" r:id="rId6"/>
    <sheet name="Ověření identifikátoru adresy" sheetId="6" r:id="rId7"/>
  </sheets>
  <functionGroups/>
  <calcPr calcId="125725"/>
  <webPublishing codePage="65001"/>
</workbook>
</file>

<file path=xl/calcChain.xml><?xml version="1.0" encoding="utf-8"?>
<calcChain xmlns="http://schemas.openxmlformats.org/spreadsheetml/2006/main">
  <c r="F8" i="6"/>
  <c r="F9"/>
  <c r="F10"/>
  <c r="F11"/>
  <c r="F12"/>
  <c r="F13"/>
  <c r="F14"/>
  <c r="F15"/>
  <c r="F16"/>
  <c r="F17"/>
  <c r="H8" i="5"/>
  <c r="H9"/>
  <c r="H10"/>
  <c r="H11"/>
  <c r="H12"/>
  <c r="H13"/>
  <c r="H14"/>
  <c r="H15"/>
  <c r="H16"/>
  <c r="H17"/>
  <c r="M2" i="4"/>
  <c r="F7" i="6"/>
  <c r="F6"/>
  <c r="F5"/>
  <c r="F4"/>
  <c r="F3"/>
  <c r="F2"/>
  <c r="H3" i="5"/>
  <c r="H4"/>
  <c r="H5"/>
  <c r="H6"/>
  <c r="H7"/>
  <c r="H2"/>
  <c r="M3" i="4"/>
  <c r="M4"/>
  <c r="M5"/>
  <c r="M6"/>
  <c r="M7"/>
  <c r="M8"/>
  <c r="M9"/>
  <c r="M10"/>
  <c r="M11"/>
  <c r="M12"/>
  <c r="M13"/>
  <c r="M14"/>
  <c r="M15"/>
  <c r="M16"/>
  <c r="M17"/>
  <c r="G23" i="3"/>
  <c r="G24"/>
  <c r="G25"/>
  <c r="G26"/>
  <c r="G27"/>
  <c r="G28"/>
  <c r="G29"/>
  <c r="G30"/>
  <c r="G31"/>
  <c r="G32"/>
  <c r="G33"/>
  <c r="G34"/>
  <c r="G35"/>
  <c r="G36"/>
  <c r="G37"/>
  <c r="G22"/>
  <c r="M17" i="2"/>
  <c r="M16"/>
  <c r="M15"/>
  <c r="M14"/>
  <c r="M13"/>
  <c r="M12"/>
  <c r="M11"/>
  <c r="M10"/>
  <c r="M9"/>
  <c r="M8"/>
  <c r="M7"/>
  <c r="M6"/>
  <c r="M5"/>
  <c r="M4"/>
  <c r="M3"/>
  <c r="M2"/>
  <c r="N17" i="1"/>
  <c r="N16"/>
  <c r="N15"/>
  <c r="N14"/>
  <c r="N13"/>
  <c r="N12"/>
  <c r="N11"/>
  <c r="N10"/>
  <c r="N9"/>
  <c r="N8"/>
  <c r="N7"/>
  <c r="N6"/>
  <c r="N5"/>
  <c r="N4"/>
  <c r="N3"/>
  <c r="N2"/>
</calcChain>
</file>

<file path=xl/sharedStrings.xml><?xml version="1.0" encoding="utf-8"?>
<sst xmlns="http://schemas.openxmlformats.org/spreadsheetml/2006/main" count="408" uniqueCount="132">
  <si>
    <t>Ulice</t>
  </si>
  <si>
    <t>Číslo popisné</t>
  </si>
  <si>
    <t>Číslo evidenční</t>
  </si>
  <si>
    <t>Číslo orientační</t>
  </si>
  <si>
    <t>PSČ</t>
  </si>
  <si>
    <t>Město, obec</t>
  </si>
  <si>
    <t>Část obce</t>
  </si>
  <si>
    <t>Číslo městské části</t>
  </si>
  <si>
    <t>Arnošta Valenty</t>
  </si>
  <si>
    <t>198 00</t>
  </si>
  <si>
    <t>Praha</t>
  </si>
  <si>
    <t>Černý most</t>
  </si>
  <si>
    <t>Arnošta Valenty 670/31&lt;br&gt;Černý Most&lt;br&gt;19800 Praha 9</t>
  </si>
  <si>
    <t>Arnošta Valenty 670&lt;br&gt;Černý Most&lt;br&gt;19800 Praha 9</t>
  </si>
  <si>
    <t>Medová</t>
  </si>
  <si>
    <t>104 00</t>
  </si>
  <si>
    <t>Křeslice</t>
  </si>
  <si>
    <t>Medová č.ev. 30&lt;br&gt;Křeslice&lt;br&gt;10400 Praha 10</t>
  </si>
  <si>
    <t>Křeslice č.ev. 42&lt;br&gt;10400 Praha 10</t>
  </si>
  <si>
    <t>Lhenická</t>
  </si>
  <si>
    <t>370 05</t>
  </si>
  <si>
    <t>České Budějovice</t>
  </si>
  <si>
    <t>České Budějovice 2</t>
  </si>
  <si>
    <t>Lhenická 1120/1&lt;br&gt;České Budějovice 2&lt;br&gt;37005 České Budějovice</t>
  </si>
  <si>
    <t>5. Adresní místo mimo Prahu s ulicí, číslem popisným a orientačním, název obce a její části nejsou shodné</t>
  </si>
  <si>
    <t>Lhenická 1120&lt;br&gt;České Budějovice 2&lt;br&gt;37005 České Budějovice</t>
  </si>
  <si>
    <t>6. Adresní místo mimo Prahu s ulicí, číslem popisným, název obce a její části nejsou shodné</t>
  </si>
  <si>
    <t>Lhenická č.ev. 12&lt;br&gt;České Budějovice 2&lt;br&gt;37005 České Budějovice</t>
  </si>
  <si>
    <t>7. Adresní místo mimo Prahu s ulicí a číslem evidenčním, název obce a její části nejsou shodné</t>
  </si>
  <si>
    <t>Žamberecká</t>
  </si>
  <si>
    <t>516 01</t>
  </si>
  <si>
    <t>Vamberk</t>
  </si>
  <si>
    <t>Žamberecká 339&lt;br&gt;51601 Vamberk</t>
  </si>
  <si>
    <t>8. Adresní místo mimo Prahu s ulicí a číslem popisným, název obce a její části jsou shodné</t>
  </si>
  <si>
    <t>Žamberecká 339/1&lt;br&gt;51601 Vamberk</t>
  </si>
  <si>
    <t>9. Adresní místo mimo Prahu s ulicí, číslem popisným a orientačním, název obce a její části jsou shodné</t>
  </si>
  <si>
    <t>Žamberecká č.ev. 21&lt;br&gt;51601 Vamberk</t>
  </si>
  <si>
    <t>533 33</t>
  </si>
  <si>
    <t>Pardubice</t>
  </si>
  <si>
    <t>Dražkovice</t>
  </si>
  <si>
    <t>Dražkovice 106&lt;br&gt;53333 Pardubice</t>
  </si>
  <si>
    <t>11. Adresní místo mimo Prahu s číslem popisným, název obce a její části nejsou shodné</t>
  </si>
  <si>
    <t>Dražkovice 106/12&lt;br&gt;53333 Pardubice</t>
  </si>
  <si>
    <t>12. Adresní místo mimo Prahu s číslem popisným a orinetačním, název obce a její části nejsou shodné</t>
  </si>
  <si>
    <t>Dražkovice č.ev. 32&lt;br&gt;53333 Pardubice</t>
  </si>
  <si>
    <t>13. Adresní místo mimo Prahu s číslem evidenčním, název obce a její části nejsou shodné</t>
  </si>
  <si>
    <t>503 33</t>
  </si>
  <si>
    <t>Praskačka</t>
  </si>
  <si>
    <t>č.p. 111&lt;br&gt;50333 Praskačka</t>
  </si>
  <si>
    <t>14. Adresní místo mimo Prahu s číslem popisným, název obce a její části jsou shodné</t>
  </si>
  <si>
    <t>č.p. 111/1&lt;br&gt;50333 Praskačka</t>
  </si>
  <si>
    <t>15. Adresní místo mimo Prahu s číslem popisným a orientačním, název obce a její části jsou shodné</t>
  </si>
  <si>
    <t>č.ev. 32&lt;br&gt;50333 Praskačka</t>
  </si>
  <si>
    <t>16. Adresní místo mimo Prahu s číslem evidenčním, název obce a její části jsou shodné</t>
  </si>
  <si>
    <t>Adresa pro kontrolu</t>
  </si>
  <si>
    <t>Vygenerovaná adresa</t>
  </si>
  <si>
    <t>Volání URL</t>
  </si>
  <si>
    <t>10. Adresní místo mimo Prahu s ulicí a číslem evidenčním, název obce a její části jsou shodné</t>
  </si>
  <si>
    <t>3. Adresní místo v Praze s ulicí a číslem evidenčním</t>
  </si>
  <si>
    <t>2. Adresní místo v Praze s ulicí a číslem popisným</t>
  </si>
  <si>
    <t>1. Adresní místo v Praze s ulicí, číslem popisným a orientačním</t>
  </si>
  <si>
    <t>4. Adresní místo v Praze s číslem evidenčním</t>
  </si>
  <si>
    <t>Kontrola</t>
  </si>
  <si>
    <t>http://www.vugtk.cz/euradin/services/rest.py/CompileAddress/html?AddressPlaceId=&amp;SearchText=&amp;Street=Medová&amp;Locality=Praha&amp;HouseNumber=&amp;ZIPCode=104 00&amp;LocalityPart=Křeslice&amp;OrientationNumber=&amp;RecordNumber=30&amp;DistrictNumber=10</t>
  </si>
  <si>
    <t>http://www.vugtk.cz/euradin/services/rest.py/CompileAddress/html?AddressPlaceId=&amp;SearchText=&amp;Street=&amp;Locality=Praha&amp;HouseNumber=&amp;ZIPCode=104 00&amp;LocalityPart=Křeslice&amp;OrientationNumber=&amp;RecordNumber=42&amp;DistrictNumber=10</t>
  </si>
  <si>
    <t>http://www.vugtk.cz/euradin/services/rest.py/CompileAddress/html?AddressPlaceId=&amp;SearchText=&amp;Street=Lhenická&amp;Locality=České Budějovice&amp;HouseNumber=1120&amp;ZIPCode=370 05&amp;LocalityPart=České Budějovice 2&amp;OrientationNumber=1&amp;RecordNumber=&amp;DistrictNumber=</t>
  </si>
  <si>
    <t>http://www.vugtk.cz/euradin/services/rest.py/CompileAddress/html?AddressPlaceId=&amp;SearchText=&amp;Street=Lhenická&amp;Locality=České Budějovice&amp;HouseNumber=1120&amp;ZIPCode=370 05&amp;LocalityPart=České Budějovice 2&amp;OrientationNumber=&amp;RecordNumber=&amp;DistrictNumber=</t>
  </si>
  <si>
    <t>http://www.vugtk.cz/euradin/services/rest.py/CompileAddress/html?AddressPlaceId=&amp;SearchText=&amp;Street=Lhenická&amp;Locality=České Budějovice&amp;HouseNumber=&amp;ZIPCode=370 05&amp;LocalityPart=České Budějovice 2&amp;OrientationNumber=&amp;RecordNumber=12&amp;DistrictNumber=</t>
  </si>
  <si>
    <t>http://www.vugtk.cz/euradin/services/rest.py/CompileAddress/html?AddressPlaceId=&amp;SearchText=&amp;Street=Žamberecká&amp;Locality=Vamberk&amp;HouseNumber=339&amp;ZIPCode=516 01&amp;LocalityPart=Vamberk&amp;OrientationNumber=&amp;RecordNumber=&amp;DistrictNumber=</t>
  </si>
  <si>
    <t>http://www.vugtk.cz/euradin/services/rest.py/CompileAddress/html?AddressPlaceId=&amp;SearchText=&amp;Street=Žamberecká&amp;Locality=Vamberk&amp;HouseNumber=339&amp;ZIPCode=516 01&amp;LocalityPart=Vamberk&amp;OrientationNumber=1&amp;RecordNumber=&amp;DistrictNumber=</t>
  </si>
  <si>
    <t>http://www.vugtk.cz/euradin/services/rest.py/CompileAddress/html?AddressPlaceId=&amp;SearchText=&amp;Street=Žamberecká&amp;Locality=Vamberk&amp;HouseNumber=&amp;ZIPCode=516 01&amp;LocalityPart=Vamberk&amp;OrientationNumber=&amp;RecordNumber=21&amp;DistrictNumber=</t>
  </si>
  <si>
    <t>http://www.vugtk.cz/euradin/services/rest.py/CompileAddress/html?AddressPlaceId=&amp;SearchText=&amp;Street=&amp;Locality=Pardubice&amp;HouseNumber=106&amp;ZIPCode=533 33&amp;LocalityPart=Dražkovice&amp;OrientationNumber=&amp;RecordNumber=&amp;DistrictNumber=</t>
  </si>
  <si>
    <t>http://www.vugtk.cz/euradin/services/rest.py/CompileAddress/html?AddressPlaceId=&amp;SearchText=&amp;Street=&amp;Locality=Pardubice&amp;HouseNumber=106&amp;ZIPCode=533 33&amp;LocalityPart=Dražkovice&amp;OrientationNumber=12&amp;RecordNumber=&amp;DistrictNumber=</t>
  </si>
  <si>
    <t>http://www.vugtk.cz/euradin/services/rest.py/CompileAddress/html?AddressPlaceId=&amp;SearchText=&amp;Street=&amp;Locality=Pardubice&amp;HouseNumber=&amp;ZIPCode=533 33&amp;LocalityPart=Dražkovice&amp;OrientationNumber=&amp;RecordNumber=32&amp;DistrictNumber=</t>
  </si>
  <si>
    <t>http://www.vugtk.cz/euradin/services/rest.py/CompileAddress/html?AddressPlaceId=&amp;SearchText=&amp;Street=&amp;Locality=Praskačka&amp;HouseNumber=111&amp;ZIPCode=503 33&amp;LocalityPart=Praskačka&amp;OrientationNumber=&amp;RecordNumber=&amp;DistrictNumber=</t>
  </si>
  <si>
    <t>http://www.vugtk.cz/euradin/services/rest.py/CompileAddress/html?AddressPlaceId=&amp;SearchText=&amp;Street=&amp;Locality=Praskačka&amp;HouseNumber=111&amp;ZIPCode=503 33&amp;LocalityPart=Praskačka&amp;OrientationNumber=1&amp;RecordNumber=&amp;DistrictNumber=</t>
  </si>
  <si>
    <t>http://www.vugtk.cz/euradin/services/rest.py/CompileAddress/html?AddressPlaceId=&amp;SearchText=&amp;Street=&amp;Locality=Praskačka&amp;HouseNumber=&amp;ZIPCode=503 33&amp;LocalityPart=Praskačka&amp;OrientationNumber=&amp;RecordNumber=32&amp;DistrictNumber=</t>
  </si>
  <si>
    <t>http://www.vugtk.cz/euradin/services/rest.py/CompileAddress/html?AddressPlaceId=&amp;SearchText=&amp;Street=Arnošta Valenty&amp;Locality=Praha&amp;HouseNumber=670&amp;ZIPCode=198 00&amp;LocalityPart=Černý most&amp;OrientationNumber=&amp;RecordNumber=&amp;DistrictNumber=9</t>
  </si>
  <si>
    <t>http://www.vugtk.cz/euradin/services/rest.py/Validate/html?Street=Arnošta Valenty&amp;Locality=Praha&amp;HouseNumber=670&amp;ZIPCode=198 00&amp;LocalityPart=Černý most&amp;OrientationNumber=31</t>
  </si>
  <si>
    <t>http://www.vugtk.cz/euradin/services/rest.py/Validate/html?Street=Arnošta Valenty&amp;Locality=Praha&amp;HouseNumber=670&amp;ZIPCode=198 00&amp;LocalityPart=Černý most&amp;OrientationNumber=</t>
  </si>
  <si>
    <t>http://www.vugtk.cz/euradin/services/rest.py/Validate/html?Street=Medová&amp;Locality=Praha&amp;HouseNumber=&amp;ZIPCode=104 00&amp;LocalityPart=Křeslice&amp;OrientationNumber=</t>
  </si>
  <si>
    <t>http://www.vugtk.cz/euradin/services/rest.py/Validate/html?Street=&amp;Locality=Praha&amp;HouseNumber=&amp;ZIPCode=104 00&amp;LocalityPart=Křeslice&amp;OrientationNumber=</t>
  </si>
  <si>
    <t>http://www.vugtk.cz/euradin/services/rest.py/Validate/html?Street=Lhenická&amp;Locality=České Budějovice&amp;HouseNumber=1120&amp;ZIPCode=370 05&amp;LocalityPart=České Budějovice 2&amp;OrientationNumber=1</t>
  </si>
  <si>
    <t>http://www.vugtk.cz/euradin/services/rest.py/Validate/html?Street=Lhenická&amp;Locality=České Budějovice&amp;HouseNumber=1120&amp;ZIPCode=370 05&amp;LocalityPart=České Budějovice 2&amp;OrientationNumber=</t>
  </si>
  <si>
    <t>http://www.vugtk.cz/euradin/services/rest.py/Validate/html?Street=Lhenická&amp;Locality=České Budějovice&amp;HouseNumber=&amp;ZIPCode=370 05&amp;LocalityPart=České Budějovice 2&amp;OrientationNumber=</t>
  </si>
  <si>
    <t>http://www.vugtk.cz/euradin/services/rest.py/Validate/html?Street=Žamberecká&amp;Locality=Vamberk&amp;HouseNumber=339&amp;ZIPCode=516 01&amp;LocalityPart=Vamberk&amp;OrientationNumber=</t>
  </si>
  <si>
    <t>http://www.vugtk.cz/euradin/services/rest.py/Validate/html?Street=Žamberecká&amp;Locality=Vamberk&amp;HouseNumber=339&amp;ZIPCode=516 01&amp;LocalityPart=Vamberk&amp;OrientationNumber=1</t>
  </si>
  <si>
    <t>http://www.vugtk.cz/euradin/services/rest.py/Validate/html?Street=Žamberecká&amp;Locality=Vamberk&amp;HouseNumber=&amp;ZIPCode=516 01&amp;LocalityPart=Vamberk&amp;OrientationNumber=</t>
  </si>
  <si>
    <t>http://www.vugtk.cz/euradin/services/rest.py/Validate/html?Street=&amp;Locality=Pardubice&amp;HouseNumber=106&amp;ZIPCode=533 33&amp;LocalityPart=Dražkovice&amp;OrientationNumber=</t>
  </si>
  <si>
    <t>http://www.vugtk.cz/euradin/services/rest.py/Validate/html?Street=&amp;Locality=Pardubice&amp;HouseNumber=106&amp;ZIPCode=533 33&amp;LocalityPart=Dražkovice&amp;OrientationNumber=12</t>
  </si>
  <si>
    <t>http://www.vugtk.cz/euradin/services/rest.py/Validate/html?Street=&amp;Locality=Pardubice&amp;HouseNumber=&amp;ZIPCode=533 33&amp;LocalityPart=Dražkovice&amp;OrientationNumber=</t>
  </si>
  <si>
    <t>http://www.vugtk.cz/euradin/services/rest.py/Validate/html?Street=&amp;Locality=Praskačka&amp;HouseNumber=111&amp;ZIPCode=503 33&amp;LocalityPart=Praskačka&amp;OrientationNumber=</t>
  </si>
  <si>
    <t>http://www.vugtk.cz/euradin/services/rest.py/Validate/html?Street=&amp;Locality=Praskačka&amp;HouseNumber=111&amp;ZIPCode=503 33&amp;LocalityPart=Praskačka&amp;OrientationNumber=1</t>
  </si>
  <si>
    <t>http://www.vugtk.cz/euradin/services/rest.py/Validate/html?Street=&amp;Locality=Praskačka&amp;HouseNumber=&amp;ZIPCode=503 33&amp;LocalityPart=Praskačka&amp;OrientationNumber=</t>
  </si>
  <si>
    <t>Vygenerované souřadnice</t>
  </si>
  <si>
    <t>Souřadnice pro kontrolu</t>
  </si>
  <si>
    <t>http://www.vugtk.cz/euradin/services/rest.py/Geocode/html?AddressPlaceId=&amp;SearchText=&amp;Street=Arnošta Valenty&amp;Locality=Praha&amp;HouseNumber=670&amp;ZIPCode=198 00&amp;LocalityPart=Černý most&amp;OrientationNumber=31&amp;RecordNumber=&amp;DistrictNumber=9</t>
  </si>
  <si>
    <t>http://www.vugtk.cz/euradin/services/rest.py/Geocode/html?AddressPlaceId=&amp;SearchText=&amp;Street=Arnošta Valenty&amp;Locality=Praha&amp;HouseNumber=670&amp;ZIPCode=198 00&amp;LocalityPart=Černý most&amp;OrientationNumber=&amp;RecordNumber=&amp;DistrictNumber=9</t>
  </si>
  <si>
    <t>http://www.vugtk.cz/euradin/services/rest.py/Geocode/html?AddressPlaceId=&amp;SearchText=&amp;Street=Medová&amp;Locality=Praha&amp;HouseNumber=&amp;ZIPCode=104 00&amp;LocalityPart=Křeslice&amp;OrientationNumber=&amp;RecordNumber=30&amp;DistrictNumber=10</t>
  </si>
  <si>
    <t>http://www.vugtk.cz/euradin/services/rest.py/Geocode/html?AddressPlaceId=&amp;SearchText=&amp;Street=&amp;Locality=Praha&amp;HouseNumber=&amp;ZIPCode=104 00&amp;LocalityPart=Křeslice&amp;OrientationNumber=&amp;RecordNumber=42&amp;DistrictNumber=10</t>
  </si>
  <si>
    <t>http://www.vugtk.cz/euradin/services/rest.py/Geocode/html?AddressPlaceId=&amp;SearchText=&amp;Street=Lhenická&amp;Locality=České Budějovice&amp;HouseNumber=1120&amp;ZIPCode=370 05&amp;LocalityPart=České Budějovice 2&amp;OrientationNumber=1&amp;RecordNumber=&amp;DistrictNumber=</t>
  </si>
  <si>
    <t>http://www.vugtk.cz/euradin/services/rest.py/Geocode/html?AddressPlaceId=&amp;SearchText=&amp;Street=Lhenická&amp;Locality=České Budějovice&amp;HouseNumber=1120&amp;ZIPCode=370 05&amp;LocalityPart=České Budějovice 2&amp;OrientationNumber=&amp;RecordNumber=&amp;DistrictNumber=</t>
  </si>
  <si>
    <t>http://www.vugtk.cz/euradin/services/rest.py/Geocode/html?AddressPlaceId=&amp;SearchText=&amp;Street=Lhenická&amp;Locality=České Budějovice&amp;HouseNumber=&amp;ZIPCode=370 05&amp;LocalityPart=České Budějovice 2&amp;OrientationNumber=&amp;RecordNumber=12&amp;DistrictNumber=</t>
  </si>
  <si>
    <t>http://www.vugtk.cz/euradin/services/rest.py/Geocode/html?AddressPlaceId=&amp;SearchText=&amp;Street=Žamberecká&amp;Locality=Vamberk&amp;HouseNumber=339&amp;ZIPCode=516 01&amp;LocalityPart=Vamberk&amp;OrientationNumber=&amp;RecordNumber=&amp;DistrictNumber=</t>
  </si>
  <si>
    <t>http://www.vugtk.cz/euradin/services/rest.py/Geocode/html?AddressPlaceId=&amp;SearchText=&amp;Street=Žamberecká&amp;Locality=Vamberk&amp;HouseNumber=339&amp;ZIPCode=516 01&amp;LocalityPart=Vamberk&amp;OrientationNumber=1&amp;RecordNumber=&amp;DistrictNumber=</t>
  </si>
  <si>
    <t>http://www.vugtk.cz/euradin/services/rest.py/Geocode/html?AddressPlaceId=&amp;SearchText=&amp;Street=Žamberecká&amp;Locality=Vamberk&amp;HouseNumber=&amp;ZIPCode=516 01&amp;LocalityPart=Vamberk&amp;OrientationNumber=&amp;RecordNumber=21&amp;DistrictNumber=</t>
  </si>
  <si>
    <t>http://www.vugtk.cz/euradin/services/rest.py/Geocode/html?AddressPlaceId=&amp;SearchText=&amp;Street=&amp;Locality=Pardubice&amp;HouseNumber=106&amp;ZIPCode=533 33&amp;LocalityPart=Dražkovice&amp;OrientationNumber=&amp;RecordNumber=&amp;DistrictNumber=</t>
  </si>
  <si>
    <t>http://www.vugtk.cz/euradin/services/rest.py/Geocode/html?AddressPlaceId=&amp;SearchText=&amp;Street=&amp;Locality=Pardubice&amp;HouseNumber=106&amp;ZIPCode=533 33&amp;LocalityPart=Dražkovice&amp;OrientationNumber=12&amp;RecordNumber=&amp;DistrictNumber=</t>
  </si>
  <si>
    <t>http://www.vugtk.cz/euradin/services/rest.py/Geocode/html?AddressPlaceId=&amp;SearchText=&amp;Street=&amp;Locality=Pardubice&amp;HouseNumber=&amp;ZIPCode=533 33&amp;LocalityPart=Dražkovice&amp;OrientationNumber=&amp;RecordNumber=32&amp;DistrictNumber=</t>
  </si>
  <si>
    <t>http://www.vugtk.cz/euradin/services/rest.py/Geocode/html?AddressPlaceId=&amp;SearchText=&amp;Street=&amp;Locality=Praskačka&amp;HouseNumber=111&amp;ZIPCode=503 33&amp;LocalityPart=Praskačka&amp;OrientationNumber=&amp;RecordNumber=&amp;DistrictNumber=</t>
  </si>
  <si>
    <t>http://www.vugtk.cz/euradin/services/rest.py/Geocode/html?AddressPlaceId=&amp;SearchText=&amp;Street=&amp;Locality=Praskačka&amp;HouseNumber=111&amp;ZIPCode=503 33&amp;LocalityPart=Praskačka&amp;OrientationNumber=1&amp;RecordNumber=&amp;DistrictNumber=</t>
  </si>
  <si>
    <t>http://www.vugtk.cz/euradin/services/rest.py/Geocode/html?AddressPlaceId=&amp;SearchText=&amp;Street=&amp;Locality=Praskačka&amp;HouseNumber=&amp;ZIPCode=503 33&amp;LocalityPart=Praskačka&amp;OrientationNumber=&amp;RecordNumber=32&amp;DistrictNumber=</t>
  </si>
  <si>
    <t>Způsob vyhledávání</t>
  </si>
  <si>
    <t>pro kontrolu</t>
  </si>
  <si>
    <t>vygenerováno</t>
  </si>
  <si>
    <t>Zadání</t>
  </si>
  <si>
    <t>X</t>
  </si>
  <si>
    <t>Y</t>
  </si>
  <si>
    <t>Vzdálenost</t>
  </si>
  <si>
    <t>Pro kontrolu</t>
  </si>
  <si>
    <t>Identifikátor</t>
  </si>
  <si>
    <t>http://www.vugtk.cz/euradin/services/rest.py/ValidateAddressId/html?&amp;AddressPlaceId=</t>
  </si>
  <si>
    <t>http://www.vugtk.cz/euradin/services/rest.py/NearbyAddresses/html?&amp;JTSKX=&amp;JTSKY=&amp;Distance=</t>
  </si>
  <si>
    <t>http://www.vugtk.cz/euradin/services/rest.py/FullTextSearch/html?&amp;SearchFlag=&amp;SearchText=</t>
  </si>
  <si>
    <t>http://www.vugtk.cz/euradin/services/rest.py/CompileAddress/html?AddressPlaceId=&amp;SearchText=&amp;Street=Arnošta Valenty&amp;Locality=Praha&amp;HouseNumber=670&amp;ZIPCode=198 00&amp;LocalityPart=Černý most&amp;OrientationNumber=31&amp;RecordNumber=&amp;DistrictNumber=9</t>
  </si>
  <si>
    <t>Knihovna pro testování služeb RUIANServices. Umožní otestovat jestli webové služby odpovídají požadavkům ověřené metodiky ???.</t>
  </si>
  <si>
    <t>Název projektu:</t>
  </si>
  <si>
    <t>Výzkum uplatnění závěrů projektu eContentplus s názvem EURADIN v podmínkách RÚIAN</t>
  </si>
  <si>
    <t>Číslo projektu:</t>
  </si>
  <si>
    <t>TB01CUZK004</t>
  </si>
  <si>
    <t>Adresa serveru</t>
  </si>
  <si>
    <t>http://www.vugtk.cz/euradin/services/rest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</si>
</sst>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b/>
      <sz val="8"/>
      <name val="Consolas"/>
      <family val="3"/>
      <charset val="238"/>
    </font>
    <font>
      <sz val="11"/>
      <name val="Consolas"/>
      <family val="3"/>
      <charset val="238"/>
    </font>
    <font>
      <u/>
      <sz val="14.3"/>
      <color theme="10"/>
      <name val="Calibri"/>
      <family val="2"/>
      <charset val="238"/>
    </font>
    <font>
      <sz val="8"/>
      <name val="Consolas"/>
      <family val="3"/>
      <charset val="238"/>
    </font>
    <font>
      <u/>
      <sz val="8"/>
      <color theme="10"/>
      <name val="Calibri"/>
      <family val="2"/>
      <charset val="238"/>
    </font>
    <font>
      <b/>
      <sz val="8"/>
      <color rgb="FFFF0000"/>
      <name val="Consolas"/>
      <family val="3"/>
      <charset val="238"/>
    </font>
    <font>
      <sz val="8"/>
      <color theme="1"/>
      <name val="Calibri"/>
      <family val="2"/>
      <charset val="238"/>
      <scheme val="minor"/>
    </font>
    <font>
      <sz val="8"/>
      <color rgb="FF333333"/>
      <name val="Consolas"/>
      <family val="3"/>
      <charset val="238"/>
    </font>
    <font>
      <sz val="8"/>
      <color theme="1"/>
      <name val="Arial Unicode MS"/>
      <family val="2"/>
      <charset val="238"/>
    </font>
    <font>
      <sz val="8"/>
      <color rgb="FFFF0000"/>
      <name val="Consolas"/>
      <family val="3"/>
      <charset val="238"/>
    </font>
    <font>
      <b/>
      <sz val="14"/>
      <color indexed="50"/>
      <name val="Calibri"/>
      <family val="2"/>
      <scheme val="minor"/>
    </font>
    <font>
      <sz val="12"/>
      <color rgb="FF575757"/>
      <name val="Verdana"/>
      <family val="2"/>
    </font>
    <font>
      <sz val="12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 style="thin">
        <color theme="3"/>
      </left>
      <right/>
      <top/>
      <bottom style="thin">
        <color indexed="64"/>
      </bottom>
      <diagonal/>
    </border>
    <border>
      <left/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/>
      <top style="thin">
        <color theme="3"/>
      </top>
      <bottom style="thin">
        <color indexed="64"/>
      </bottom>
      <diagonal/>
    </border>
    <border>
      <left/>
      <right/>
      <top style="thin">
        <color theme="3"/>
      </top>
      <bottom style="thin">
        <color indexed="64"/>
      </bottom>
      <diagonal/>
    </border>
    <border>
      <left/>
      <right style="thin">
        <color theme="3"/>
      </right>
      <top style="thin">
        <color theme="3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 textRotation="90"/>
    </xf>
    <xf numFmtId="0" fontId="5" fillId="0" borderId="0" xfId="1" applyFont="1" applyBorder="1" applyAlignment="1" applyProtection="1"/>
    <xf numFmtId="0" fontId="5" fillId="3" borderId="0" xfId="1" applyFont="1" applyFill="1" applyBorder="1" applyAlignment="1" applyProtection="1"/>
    <xf numFmtId="0" fontId="4" fillId="0" borderId="0" xfId="0" applyFont="1" applyBorder="1"/>
    <xf numFmtId="0" fontId="5" fillId="4" borderId="0" xfId="1" applyFont="1" applyFill="1" applyBorder="1" applyAlignment="1" applyProtection="1"/>
    <xf numFmtId="0" fontId="5" fillId="4" borderId="5" xfId="1" applyFont="1" applyFill="1" applyBorder="1" applyAlignment="1" applyProtection="1"/>
    <xf numFmtId="0" fontId="6" fillId="2" borderId="2" xfId="0" applyFont="1" applyFill="1" applyBorder="1"/>
    <xf numFmtId="0" fontId="5" fillId="4" borderId="7" xfId="1" applyFont="1" applyFill="1" applyBorder="1" applyAlignment="1" applyProtection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1" xfId="0" applyFont="1" applyFill="1" applyBorder="1" applyAlignment="1">
      <alignment horizontal="center" textRotation="90"/>
    </xf>
    <xf numFmtId="0" fontId="0" fillId="4" borderId="0" xfId="0" applyFill="1"/>
    <xf numFmtId="0" fontId="0" fillId="0" borderId="14" xfId="0" applyBorder="1"/>
    <xf numFmtId="0" fontId="0" fillId="4" borderId="14" xfId="0" applyFill="1" applyBorder="1"/>
    <xf numFmtId="0" fontId="2" fillId="2" borderId="15" xfId="0" applyFont="1" applyFill="1" applyBorder="1"/>
    <xf numFmtId="0" fontId="4" fillId="0" borderId="3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wrapText="1"/>
    </xf>
    <xf numFmtId="0" fontId="4" fillId="0" borderId="4" xfId="0" applyFont="1" applyBorder="1"/>
    <xf numFmtId="0" fontId="7" fillId="0" borderId="0" xfId="0" applyFont="1"/>
    <xf numFmtId="0" fontId="8" fillId="3" borderId="3" xfId="0" applyFont="1" applyFill="1" applyBorder="1"/>
    <xf numFmtId="0" fontId="8" fillId="3" borderId="0" xfId="0" applyFont="1" applyFill="1" applyBorder="1"/>
    <xf numFmtId="0" fontId="4" fillId="3" borderId="0" xfId="0" applyFont="1" applyFill="1" applyBorder="1"/>
    <xf numFmtId="0" fontId="8" fillId="3" borderId="0" xfId="0" applyFont="1" applyFill="1" applyBorder="1" applyAlignment="1">
      <alignment horizontal="center"/>
    </xf>
    <xf numFmtId="0" fontId="4" fillId="3" borderId="4" xfId="0" applyFont="1" applyFill="1" applyBorder="1"/>
    <xf numFmtId="0" fontId="8" fillId="0" borderId="3" xfId="0" applyFont="1" applyBorder="1"/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1" fillId="3" borderId="0" xfId="0" applyFont="1" applyFill="1" applyBorder="1"/>
    <xf numFmtId="0" fontId="9" fillId="4" borderId="0" xfId="0" applyFont="1" applyFill="1"/>
    <xf numFmtId="0" fontId="9" fillId="0" borderId="0" xfId="0" applyFont="1"/>
    <xf numFmtId="0" fontId="8" fillId="4" borderId="3" xfId="0" applyFont="1" applyFill="1" applyBorder="1"/>
    <xf numFmtId="0" fontId="8" fillId="4" borderId="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4" fillId="4" borderId="4" xfId="0" applyFont="1" applyFill="1" applyBorder="1"/>
    <xf numFmtId="0" fontId="4" fillId="4" borderId="5" xfId="0" applyFont="1" applyFill="1" applyBorder="1"/>
    <xf numFmtId="0" fontId="8" fillId="4" borderId="5" xfId="0" applyFont="1" applyFill="1" applyBorder="1"/>
    <xf numFmtId="0" fontId="4" fillId="4" borderId="5" xfId="0" applyFont="1" applyFill="1" applyBorder="1" applyAlignment="1">
      <alignment horizontal="center"/>
    </xf>
    <xf numFmtId="0" fontId="9" fillId="4" borderId="7" xfId="0" applyFont="1" applyFill="1" applyBorder="1"/>
    <xf numFmtId="0" fontId="4" fillId="4" borderId="6" xfId="0" applyFont="1" applyFill="1" applyBorder="1"/>
    <xf numFmtId="0" fontId="4" fillId="2" borderId="12" xfId="0" applyFont="1" applyFill="1" applyBorder="1"/>
    <xf numFmtId="0" fontId="4" fillId="0" borderId="3" xfId="0" applyFont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8" fillId="3" borderId="8" xfId="0" applyFont="1" applyFill="1" applyBorder="1" applyAlignment="1">
      <alignment horizontal="left"/>
    </xf>
    <xf numFmtId="0" fontId="4" fillId="4" borderId="7" xfId="0" applyFont="1" applyFill="1" applyBorder="1"/>
    <xf numFmtId="0" fontId="4" fillId="4" borderId="9" xfId="0" applyFont="1" applyFill="1" applyBorder="1"/>
    <xf numFmtId="0" fontId="7" fillId="2" borderId="14" xfId="0" applyFont="1" applyFill="1" applyBorder="1"/>
    <xf numFmtId="0" fontId="7" fillId="0" borderId="14" xfId="0" applyFont="1" applyBorder="1"/>
    <xf numFmtId="0" fontId="7" fillId="4" borderId="0" xfId="0" applyFont="1" applyFill="1"/>
    <xf numFmtId="0" fontId="7" fillId="4" borderId="14" xfId="0" applyFont="1" applyFill="1" applyBorder="1"/>
    <xf numFmtId="0" fontId="10" fillId="0" borderId="3" xfId="0" applyFont="1" applyBorder="1"/>
    <xf numFmtId="0" fontId="10" fillId="3" borderId="3" xfId="0" applyFont="1" applyFill="1" applyBorder="1"/>
    <xf numFmtId="0" fontId="10" fillId="4" borderId="3" xfId="0" applyFont="1" applyFill="1" applyBorder="1"/>
    <xf numFmtId="0" fontId="10" fillId="4" borderId="8" xfId="0" applyFont="1" applyFill="1" applyBorder="1"/>
    <xf numFmtId="0" fontId="7" fillId="4" borderId="7" xfId="0" applyFont="1" applyFill="1" applyBorder="1"/>
    <xf numFmtId="0" fontId="7" fillId="4" borderId="13" xfId="0" applyFont="1" applyFill="1" applyBorder="1"/>
    <xf numFmtId="0" fontId="4" fillId="0" borderId="0" xfId="0" applyFont="1"/>
    <xf numFmtId="0" fontId="4" fillId="3" borderId="3" xfId="0" applyFont="1" applyFill="1" applyBorder="1"/>
    <xf numFmtId="0" fontId="4" fillId="4" borderId="3" xfId="0" applyFont="1" applyFill="1" applyBorder="1"/>
    <xf numFmtId="0" fontId="4" fillId="0" borderId="0" xfId="0" applyFont="1" applyFill="1"/>
    <xf numFmtId="0" fontId="4" fillId="4" borderId="8" xfId="0" applyFont="1" applyFill="1" applyBorder="1"/>
    <xf numFmtId="0" fontId="8" fillId="4" borderId="7" xfId="0" applyFont="1" applyFill="1" applyBorder="1"/>
    <xf numFmtId="0" fontId="4" fillId="4" borderId="7" xfId="0" applyFont="1" applyFill="1" applyBorder="1" applyAlignment="1">
      <alignment horizontal="center"/>
    </xf>
    <xf numFmtId="0" fontId="4" fillId="0" borderId="0" xfId="0" applyFont="1" applyBorder="1" applyAlignment="1">
      <alignment horizontal="center" textRotation="90"/>
    </xf>
    <xf numFmtId="0" fontId="4" fillId="0" borderId="0" xfId="0" applyFont="1" applyAlignment="1">
      <alignment horizontal="center" textRotation="90"/>
    </xf>
    <xf numFmtId="0" fontId="6" fillId="2" borderId="2" xfId="0" applyFont="1" applyFill="1" applyBorder="1" applyAlignment="1">
      <alignment horizontal="center" textRotation="90"/>
    </xf>
    <xf numFmtId="0" fontId="0" fillId="0" borderId="7" xfId="0" applyBorder="1"/>
    <xf numFmtId="0" fontId="0" fillId="4" borderId="13" xfId="0" applyFill="1" applyBorder="1"/>
    <xf numFmtId="0" fontId="8" fillId="4" borderId="3" xfId="0" applyFont="1" applyFill="1" applyBorder="1" applyAlignment="1">
      <alignment horizontal="left"/>
    </xf>
    <xf numFmtId="0" fontId="4" fillId="2" borderId="15" xfId="0" applyFont="1" applyFill="1" applyBorder="1"/>
    <xf numFmtId="0" fontId="7" fillId="0" borderId="0" xfId="0" applyFont="1" applyFill="1"/>
    <xf numFmtId="0" fontId="4" fillId="0" borderId="17" xfId="0" applyFont="1" applyBorder="1"/>
    <xf numFmtId="0" fontId="8" fillId="3" borderId="18" xfId="0" applyFont="1" applyFill="1" applyBorder="1"/>
    <xf numFmtId="0" fontId="8" fillId="0" borderId="18" xfId="0" applyFont="1" applyBorder="1"/>
    <xf numFmtId="0" fontId="8" fillId="4" borderId="18" xfId="0" applyFont="1" applyFill="1" applyBorder="1"/>
    <xf numFmtId="0" fontId="8" fillId="4" borderId="19" xfId="0" applyFont="1" applyFill="1" applyBorder="1"/>
    <xf numFmtId="0" fontId="1" fillId="2" borderId="16" xfId="0" applyFont="1" applyFill="1" applyBorder="1"/>
    <xf numFmtId="0" fontId="8" fillId="3" borderId="0" xfId="0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9" fillId="4" borderId="7" xfId="0" applyFont="1" applyFill="1" applyBorder="1" applyAlignment="1">
      <alignment wrapText="1"/>
    </xf>
    <xf numFmtId="0" fontId="12" fillId="0" borderId="0" xfId="0" applyFont="1"/>
    <xf numFmtId="0" fontId="13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/>
    </xf>
    <xf numFmtId="0" fontId="3" fillId="0" borderId="0" xfId="1" applyAlignment="1" applyProtection="1"/>
  </cellXfs>
  <cellStyles count="2">
    <cellStyle name="Hypertextový odkaz" xfId="1" builtinId="8"/>
    <cellStyle name="normální" xfId="0" builtinId="0"/>
  </cellStyles>
  <dxfs count="1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vugtk.cz/euradin/services/res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&amp;RecordNumber=&amp;DistrictNumber=" TargetMode="External"/><Relationship Id="rId13" Type="http://schemas.openxmlformats.org/officeDocument/2006/relationships/hyperlink" Target="http://www.vugtk.cz/euradin/services/rest.py/CompileAddress/html?AddressPlaceId=&amp;SearchText=&amp;Street=&amp;Locality=Pardubice&amp;HouseNumber=&amp;ZIPCode=533%2033&amp;LocalityPart=Dra&#382;kovice&amp;OrientationNumber=&amp;RecordNumber=32&amp;DistrictNumber=" TargetMode="External"/><Relationship Id="rId3" Type="http://schemas.openxmlformats.org/officeDocument/2006/relationships/hyperlink" Target="http://www.vugtk.cz/euradin/services/rest.py/CompileAddress/html?AddressPlaceId=&amp;SearchText=&amp;Street=Medov&#225;&amp;Locality=Praha&amp;HouseNumber=&amp;ZIPCode=104%2000&amp;LocalityPart=K&#345;eslice&amp;OrientationNumber=&amp;RecordNumber=30&amp;DistrictNumber=10" TargetMode="External"/><Relationship Id="rId7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&amp;ZIPCode=370%2005&amp;LocalityPart=&#268;esk&#233;%20Bud&#283;jovice%202&amp;OrientationNumber=&amp;RecordNumber=12&amp;DistrictNumber=" TargetMode="External"/><Relationship Id="rId12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12&amp;RecordNumber=&amp;DistrictNumber=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&amp;RecordNumber=&amp;DistrictNumber=9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31&amp;RecordNumber=&amp;DistrictNumber=9" TargetMode="External"/><Relationship Id="rId6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&amp;RecordNumber=&amp;DistrictNumber=" TargetMode="External"/><Relationship Id="rId11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&amp;RecordNumber=&amp;DistrictNumber=" TargetMode="External"/><Relationship Id="rId5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1&amp;RecordNumber=&amp;DistrictNumber=" TargetMode="External"/><Relationship Id="rId15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1&amp;RecordNumber=&amp;DistrictNumber=" TargetMode="External"/><Relationship Id="rId10" Type="http://schemas.openxmlformats.org/officeDocument/2006/relationships/hyperlink" Target="http://www.vugtk.cz/euradin/services/rest.py/CompileAddress/html?AddressPlaceId=&amp;SearchText=&amp;Street=&#381;ambereck&#225;&amp;Locality=Vamberk&amp;HouseNumber=&amp;ZIPCode=516%2001&amp;LocalityPart=Vamberk&amp;OrientationNumber=&amp;RecordNumber=21&amp;DistrictNumber=" TargetMode="External"/><Relationship Id="rId4" Type="http://schemas.openxmlformats.org/officeDocument/2006/relationships/hyperlink" Target="http://www.vugtk.cz/euradin/services/rest.py/CompileAddress/html?AddressPlaceId=&amp;SearchText=&amp;Street=&amp;Locality=Praha&amp;HouseNumber=&amp;ZIPCode=104%2000&amp;LocalityPart=K&#345;eslice&amp;OrientationNumber=&amp;RecordNumber=42&amp;DistrictNumber=10" TargetMode="External"/><Relationship Id="rId9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1&amp;RecordNumber=&amp;DistrictNumber=" TargetMode="External"/><Relationship Id="rId14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&amp;RecordNumber=&amp;DistrictNumber=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&amp;RecordNumber=&amp;DistrictNumber=" TargetMode="External"/><Relationship Id="rId13" Type="http://schemas.openxmlformats.org/officeDocument/2006/relationships/hyperlink" Target="http://www.vugtk.cz/euradin/services/rest.py/CompileAddress/html?AddressPlaceId=&amp;SearchText=&amp;Street=&amp;Locality=Pardubice&amp;HouseNumber=&amp;ZIPCode=533%2033&amp;LocalityPart=Dra&#382;kovice&amp;OrientationNumber=&amp;RecordNumber=32&amp;DistrictNumber=" TargetMode="External"/><Relationship Id="rId18" Type="http://schemas.openxmlformats.org/officeDocument/2006/relationships/vmlDrawing" Target="../drawings/vmlDrawing3.vml"/><Relationship Id="rId3" Type="http://schemas.openxmlformats.org/officeDocument/2006/relationships/hyperlink" Target="http://www.vugtk.cz/euradin/services/rest.py/CompileAddress/html?AddressPlaceId=&amp;SearchText=&amp;Street=Medov&#225;&amp;Locality=Praha&amp;HouseNumber=&amp;ZIPCode=104%2000&amp;LocalityPart=K&#345;eslice&amp;OrientationNumber=&amp;RecordNumber=30&amp;DistrictNumber=10" TargetMode="External"/><Relationship Id="rId7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&amp;ZIPCode=370%2005&amp;LocalityPart=&#268;esk&#233;%20Bud&#283;jovice%202&amp;OrientationNumber=&amp;RecordNumber=12&amp;DistrictNumber=" TargetMode="External"/><Relationship Id="rId12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12&amp;RecordNumber=&amp;DistrictNumber=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&amp;RecordNumber=&amp;DistrictNumber=9" TargetMode="External"/><Relationship Id="rId16" Type="http://schemas.openxmlformats.org/officeDocument/2006/relationships/hyperlink" Target="http://www.vugtk.cz/euradin/services/rest.py/CompileAddress/html?AddressPlaceId=&amp;SearchText=&amp;Street=&amp;Locality=Praska&#269;ka&amp;HouseNumber=&amp;ZIPCode=503%2033&amp;LocalityPart=Praska&#269;ka&amp;OrientationNumber=&amp;RecordNumber=32&amp;DistrictNumber=" TargetMode="External"/><Relationship Id="rId1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31&amp;RecordNumber=&amp;DistrictNumber=9" TargetMode="External"/><Relationship Id="rId6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&amp;RecordNumber=&amp;DistrictNumber=" TargetMode="External"/><Relationship Id="rId11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&amp;RecordNumber=&amp;DistrictNumber=" TargetMode="External"/><Relationship Id="rId5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1&amp;RecordNumber=&amp;DistrictNumber=" TargetMode="External"/><Relationship Id="rId15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1&amp;RecordNumber=&amp;DistrictNumber=" TargetMode="External"/><Relationship Id="rId10" Type="http://schemas.openxmlformats.org/officeDocument/2006/relationships/hyperlink" Target="http://www.vugtk.cz/euradin/services/rest.py/CompileAddress/html?AddressPlaceId=&amp;SearchText=&amp;Street=&#381;ambereck&#225;&amp;Locality=Vamberk&amp;HouseNumber=&amp;ZIPCode=516%2001&amp;LocalityPart=Vamberk&amp;OrientationNumber=&amp;RecordNumber=21&amp;DistrictNumber=" TargetMode="External"/><Relationship Id="rId4" Type="http://schemas.openxmlformats.org/officeDocument/2006/relationships/hyperlink" Target="http://www.vugtk.cz/euradin/services/rest.py/CompileAddress/html?AddressPlaceId=&amp;SearchText=&amp;Street=&amp;Locality=Praha&amp;HouseNumber=&amp;ZIPCode=104%2000&amp;LocalityPart=K&#345;eslice&amp;OrientationNumber=&amp;RecordNumber=42&amp;DistrictNumber=10" TargetMode="External"/><Relationship Id="rId9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1&amp;RecordNumber=&amp;DistrictNumber=" TargetMode="External"/><Relationship Id="rId14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&amp;RecordNumber=&amp;DistrictNumber=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vugtk.cz/euradin/services/rest.py/Validate/html?Street=Arno&#353;ta%20Valenty&amp;Locality=Praha&amp;HouseNumber=670&amp;ZIPCode=198%2000&amp;LocalityPart=&#268;ern&#253;%20most&amp;OrientationNumber=31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7"/>
  <dimension ref="A1:B6"/>
  <sheetViews>
    <sheetView tabSelected="1" workbookViewId="0">
      <selection activeCell="B7" sqref="B7"/>
    </sheetView>
  </sheetViews>
  <sheetFormatPr defaultRowHeight="15"/>
  <cols>
    <col min="1" max="1" width="21" customWidth="1"/>
    <col min="2" max="2" width="69.85546875" customWidth="1"/>
  </cols>
  <sheetData>
    <row r="1" spans="1:2" s="87" customFormat="1" ht="15.75">
      <c r="A1" s="88" t="s">
        <v>128</v>
      </c>
      <c r="B1" s="86" t="s">
        <v>129</v>
      </c>
    </row>
    <row r="2" spans="1:2" s="87" customFormat="1" ht="15.75">
      <c r="A2" s="88" t="s">
        <v>126</v>
      </c>
      <c r="B2" s="86" t="s">
        <v>127</v>
      </c>
    </row>
    <row r="4" spans="1:2" ht="15" customHeight="1">
      <c r="A4" s="89" t="s">
        <v>125</v>
      </c>
      <c r="B4" s="89"/>
    </row>
    <row r="6" spans="1:2" ht="18.75">
      <c r="A6" s="90" t="s">
        <v>130</v>
      </c>
      <c r="B6" s="91" t="s">
        <v>131</v>
      </c>
    </row>
  </sheetData>
  <mergeCells count="1">
    <mergeCell ref="A4:B4"/>
  </mergeCells>
  <hyperlinks>
    <hyperlink ref="B6" r:id="rId1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2"/>
  <dimension ref="A1:M17"/>
  <sheetViews>
    <sheetView workbookViewId="0">
      <pane xSplit="1" topLeftCell="B1" activePane="topRight" state="frozen"/>
      <selection pane="topRight" activeCell="A19" sqref="A19"/>
    </sheetView>
  </sheetViews>
  <sheetFormatPr defaultRowHeight="15"/>
  <cols>
    <col min="1" max="1" width="91" customWidth="1"/>
    <col min="2" max="2" width="15.28515625" customWidth="1"/>
    <col min="3" max="5" width="4.28515625" customWidth="1"/>
    <col min="6" max="6" width="6.5703125" customWidth="1"/>
    <col min="7" max="7" width="15.42578125" customWidth="1"/>
    <col min="8" max="8" width="19.85546875" customWidth="1"/>
    <col min="9" max="9" width="4" customWidth="1"/>
    <col min="10" max="11" width="43.5703125" customWidth="1"/>
    <col min="12" max="12" width="87.5703125" customWidth="1"/>
  </cols>
  <sheetData>
    <row r="1" spans="1:13" ht="93.75" thickBot="1">
      <c r="A1" s="80" t="s">
        <v>62</v>
      </c>
      <c r="B1" s="12" t="s">
        <v>0</v>
      </c>
      <c r="C1" s="13" t="s">
        <v>1</v>
      </c>
      <c r="D1" s="13" t="s">
        <v>2</v>
      </c>
      <c r="E1" s="13" t="s">
        <v>3</v>
      </c>
      <c r="F1" s="12" t="s">
        <v>4</v>
      </c>
      <c r="G1" s="12" t="s">
        <v>5</v>
      </c>
      <c r="H1" s="12" t="s">
        <v>6</v>
      </c>
      <c r="I1" s="13" t="s">
        <v>7</v>
      </c>
      <c r="J1" s="12" t="s">
        <v>95</v>
      </c>
      <c r="K1" s="12" t="s">
        <v>94</v>
      </c>
      <c r="L1" s="12" t="s">
        <v>56</v>
      </c>
      <c r="M1" s="44"/>
    </row>
    <row r="2" spans="1:13" s="22" customFormat="1" ht="11.25">
      <c r="A2" s="75" t="s">
        <v>60</v>
      </c>
      <c r="B2" s="6" t="s">
        <v>8</v>
      </c>
      <c r="C2" s="6">
        <v>670</v>
      </c>
      <c r="D2" s="6"/>
      <c r="E2" s="6">
        <v>31</v>
      </c>
      <c r="F2" s="6" t="s">
        <v>9</v>
      </c>
      <c r="G2" s="6" t="s">
        <v>10</v>
      </c>
      <c r="H2" s="6" t="s">
        <v>11</v>
      </c>
      <c r="I2" s="19">
        <v>9</v>
      </c>
      <c r="J2" s="6"/>
      <c r="K2" s="20"/>
      <c r="L2" s="4" t="s">
        <v>96</v>
      </c>
      <c r="M2" s="21" t="b">
        <f>+K2=J2</f>
        <v>1</v>
      </c>
    </row>
    <row r="3" spans="1:13" s="22" customFormat="1" ht="11.25">
      <c r="A3" s="76" t="s">
        <v>59</v>
      </c>
      <c r="B3" s="24" t="s">
        <v>8</v>
      </c>
      <c r="C3" s="24">
        <v>670</v>
      </c>
      <c r="D3" s="25"/>
      <c r="E3" s="25"/>
      <c r="F3" s="24" t="s">
        <v>9</v>
      </c>
      <c r="G3" s="24" t="s">
        <v>10</v>
      </c>
      <c r="H3" s="24" t="s">
        <v>11</v>
      </c>
      <c r="I3" s="26">
        <v>9</v>
      </c>
      <c r="J3" s="24"/>
      <c r="K3" s="24"/>
      <c r="L3" s="5" t="s">
        <v>97</v>
      </c>
      <c r="M3" s="27" t="b">
        <f t="shared" ref="M3:M17" si="0">+K3=J3</f>
        <v>1</v>
      </c>
    </row>
    <row r="4" spans="1:13" s="22" customFormat="1" ht="11.25">
      <c r="A4" s="77" t="s">
        <v>58</v>
      </c>
      <c r="B4" s="29" t="s">
        <v>14</v>
      </c>
      <c r="C4" s="6"/>
      <c r="D4" s="30">
        <v>30</v>
      </c>
      <c r="E4" s="6"/>
      <c r="F4" s="29" t="s">
        <v>15</v>
      </c>
      <c r="G4" s="29" t="s">
        <v>10</v>
      </c>
      <c r="H4" s="29" t="s">
        <v>16</v>
      </c>
      <c r="I4" s="19">
        <v>10</v>
      </c>
      <c r="J4" s="29"/>
      <c r="K4" s="29"/>
      <c r="L4" s="4" t="s">
        <v>98</v>
      </c>
      <c r="M4" s="21" t="b">
        <f t="shared" si="0"/>
        <v>1</v>
      </c>
    </row>
    <row r="5" spans="1:13" s="22" customFormat="1" ht="12.75">
      <c r="A5" s="76" t="s">
        <v>61</v>
      </c>
      <c r="B5" s="24"/>
      <c r="C5" s="25"/>
      <c r="D5" s="26">
        <v>42</v>
      </c>
      <c r="E5" s="31"/>
      <c r="F5" s="24" t="s">
        <v>15</v>
      </c>
      <c r="G5" s="24" t="s">
        <v>10</v>
      </c>
      <c r="H5" s="24" t="s">
        <v>16</v>
      </c>
      <c r="I5" s="26">
        <v>10</v>
      </c>
      <c r="J5" s="24"/>
      <c r="K5" s="32"/>
      <c r="L5" s="5" t="s">
        <v>99</v>
      </c>
      <c r="M5" s="27" t="b">
        <f t="shared" si="0"/>
        <v>1</v>
      </c>
    </row>
    <row r="6" spans="1:13" s="22" customFormat="1" ht="12.75">
      <c r="A6" s="77" t="s">
        <v>24</v>
      </c>
      <c r="B6" s="29" t="s">
        <v>19</v>
      </c>
      <c r="C6" s="29">
        <v>1120</v>
      </c>
      <c r="D6" s="6"/>
      <c r="E6" s="29">
        <v>1</v>
      </c>
      <c r="F6" s="29" t="s">
        <v>20</v>
      </c>
      <c r="G6" s="29" t="s">
        <v>21</v>
      </c>
      <c r="H6" s="29" t="s">
        <v>22</v>
      </c>
      <c r="I6" s="19"/>
      <c r="J6" s="29"/>
      <c r="K6" s="33"/>
      <c r="L6" s="4" t="s">
        <v>100</v>
      </c>
      <c r="M6" s="21" t="b">
        <f t="shared" si="0"/>
        <v>1</v>
      </c>
    </row>
    <row r="7" spans="1:13" s="22" customFormat="1" ht="12.75">
      <c r="A7" s="78" t="s">
        <v>26</v>
      </c>
      <c r="B7" s="35" t="s">
        <v>19</v>
      </c>
      <c r="C7" s="36">
        <v>1120</v>
      </c>
      <c r="D7" s="36"/>
      <c r="E7" s="36"/>
      <c r="F7" s="36" t="s">
        <v>20</v>
      </c>
      <c r="G7" s="35" t="s">
        <v>21</v>
      </c>
      <c r="H7" s="35" t="s">
        <v>22</v>
      </c>
      <c r="I7" s="37"/>
      <c r="J7" s="35"/>
      <c r="K7" s="32"/>
      <c r="L7" s="7" t="s">
        <v>101</v>
      </c>
      <c r="M7" s="38" t="b">
        <f t="shared" si="0"/>
        <v>1</v>
      </c>
    </row>
    <row r="8" spans="1:13" s="22" customFormat="1" ht="12.75">
      <c r="A8" s="77" t="s">
        <v>28</v>
      </c>
      <c r="B8" s="29" t="s">
        <v>19</v>
      </c>
      <c r="C8" s="6"/>
      <c r="D8" s="6">
        <v>12</v>
      </c>
      <c r="E8" s="6"/>
      <c r="F8" s="29" t="s">
        <v>20</v>
      </c>
      <c r="G8" s="29" t="s">
        <v>21</v>
      </c>
      <c r="H8" s="29" t="s">
        <v>22</v>
      </c>
      <c r="I8" s="19"/>
      <c r="J8" s="29"/>
      <c r="K8" s="33"/>
      <c r="L8" s="4" t="s">
        <v>102</v>
      </c>
      <c r="M8" s="21" t="b">
        <f t="shared" si="0"/>
        <v>1</v>
      </c>
    </row>
    <row r="9" spans="1:13" s="22" customFormat="1" ht="12.75">
      <c r="A9" s="78" t="s">
        <v>33</v>
      </c>
      <c r="B9" s="35" t="s">
        <v>29</v>
      </c>
      <c r="C9" s="36">
        <v>339</v>
      </c>
      <c r="D9" s="36"/>
      <c r="E9" s="36"/>
      <c r="F9" s="35" t="s">
        <v>30</v>
      </c>
      <c r="G9" s="35" t="s">
        <v>31</v>
      </c>
      <c r="H9" s="35" t="s">
        <v>31</v>
      </c>
      <c r="I9" s="37"/>
      <c r="J9" s="35"/>
      <c r="K9" s="32"/>
      <c r="L9" s="7" t="s">
        <v>103</v>
      </c>
      <c r="M9" s="38" t="b">
        <f t="shared" si="0"/>
        <v>1</v>
      </c>
    </row>
    <row r="10" spans="1:13" s="22" customFormat="1" ht="12.75">
      <c r="A10" s="77" t="s">
        <v>35</v>
      </c>
      <c r="B10" s="29" t="s">
        <v>29</v>
      </c>
      <c r="C10" s="6">
        <v>339</v>
      </c>
      <c r="D10" s="6"/>
      <c r="E10" s="6">
        <v>1</v>
      </c>
      <c r="F10" s="29" t="s">
        <v>30</v>
      </c>
      <c r="G10" s="29" t="s">
        <v>31</v>
      </c>
      <c r="H10" s="29" t="s">
        <v>31</v>
      </c>
      <c r="I10" s="19"/>
      <c r="J10" s="29"/>
      <c r="K10" s="33"/>
      <c r="L10" s="4" t="s">
        <v>104</v>
      </c>
      <c r="M10" s="21" t="b">
        <f t="shared" si="0"/>
        <v>1</v>
      </c>
    </row>
    <row r="11" spans="1:13" s="22" customFormat="1" ht="12.75">
      <c r="A11" s="78" t="s">
        <v>57</v>
      </c>
      <c r="B11" s="35" t="s">
        <v>29</v>
      </c>
      <c r="C11" s="36"/>
      <c r="D11" s="36">
        <v>21</v>
      </c>
      <c r="E11" s="36"/>
      <c r="F11" s="35" t="s">
        <v>30</v>
      </c>
      <c r="G11" s="35" t="s">
        <v>31</v>
      </c>
      <c r="H11" s="35" t="s">
        <v>31</v>
      </c>
      <c r="I11" s="37"/>
      <c r="J11" s="35"/>
      <c r="K11" s="32"/>
      <c r="L11" s="7" t="s">
        <v>105</v>
      </c>
      <c r="M11" s="38" t="b">
        <f t="shared" si="0"/>
        <v>1</v>
      </c>
    </row>
    <row r="12" spans="1:13" s="22" customFormat="1" ht="12.75">
      <c r="A12" s="77" t="s">
        <v>41</v>
      </c>
      <c r="B12" s="6"/>
      <c r="C12" s="6">
        <v>106</v>
      </c>
      <c r="D12" s="6"/>
      <c r="E12" s="6"/>
      <c r="F12" s="29" t="s">
        <v>37</v>
      </c>
      <c r="G12" s="29" t="s">
        <v>38</v>
      </c>
      <c r="H12" s="29" t="s">
        <v>39</v>
      </c>
      <c r="I12" s="19"/>
      <c r="J12" s="29"/>
      <c r="K12" s="33"/>
      <c r="L12" s="4" t="s">
        <v>106</v>
      </c>
      <c r="M12" s="21" t="b">
        <f t="shared" si="0"/>
        <v>1</v>
      </c>
    </row>
    <row r="13" spans="1:13" s="22" customFormat="1" ht="12.75">
      <c r="A13" s="78" t="s">
        <v>43</v>
      </c>
      <c r="B13" s="36"/>
      <c r="C13" s="36">
        <v>106</v>
      </c>
      <c r="D13" s="36"/>
      <c r="E13" s="36">
        <v>12</v>
      </c>
      <c r="F13" s="35" t="s">
        <v>37</v>
      </c>
      <c r="G13" s="35" t="s">
        <v>38</v>
      </c>
      <c r="H13" s="35" t="s">
        <v>39</v>
      </c>
      <c r="I13" s="37"/>
      <c r="J13" s="35"/>
      <c r="K13" s="32"/>
      <c r="L13" s="7" t="s">
        <v>107</v>
      </c>
      <c r="M13" s="38" t="b">
        <f t="shared" si="0"/>
        <v>1</v>
      </c>
    </row>
    <row r="14" spans="1:13" s="22" customFormat="1" ht="12.75">
      <c r="A14" s="77" t="s">
        <v>45</v>
      </c>
      <c r="B14" s="6"/>
      <c r="C14" s="6"/>
      <c r="D14" s="6">
        <v>32</v>
      </c>
      <c r="E14" s="6"/>
      <c r="F14" s="29" t="s">
        <v>37</v>
      </c>
      <c r="G14" s="29" t="s">
        <v>38</v>
      </c>
      <c r="H14" s="29" t="s">
        <v>39</v>
      </c>
      <c r="I14" s="19"/>
      <c r="J14" s="29"/>
      <c r="K14" s="33"/>
      <c r="L14" s="4" t="s">
        <v>108</v>
      </c>
      <c r="M14" s="21" t="b">
        <f t="shared" si="0"/>
        <v>1</v>
      </c>
    </row>
    <row r="15" spans="1:13" s="22" customFormat="1" ht="12.75">
      <c r="A15" s="78" t="s">
        <v>49</v>
      </c>
      <c r="B15" s="36"/>
      <c r="C15" s="36">
        <v>111</v>
      </c>
      <c r="D15" s="36"/>
      <c r="E15" s="36"/>
      <c r="F15" s="35" t="s">
        <v>46</v>
      </c>
      <c r="G15" s="35" t="s">
        <v>47</v>
      </c>
      <c r="H15" s="35" t="s">
        <v>47</v>
      </c>
      <c r="I15" s="37"/>
      <c r="J15" s="35"/>
      <c r="K15" s="32"/>
      <c r="L15" s="7" t="s">
        <v>109</v>
      </c>
      <c r="M15" s="38" t="b">
        <f t="shared" si="0"/>
        <v>1</v>
      </c>
    </row>
    <row r="16" spans="1:13" s="22" customFormat="1" ht="12.75">
      <c r="A16" s="77" t="s">
        <v>51</v>
      </c>
      <c r="B16" s="6"/>
      <c r="C16" s="6">
        <v>111</v>
      </c>
      <c r="D16" s="6"/>
      <c r="E16" s="6">
        <v>1</v>
      </c>
      <c r="F16" s="29" t="s">
        <v>46</v>
      </c>
      <c r="G16" s="29" t="s">
        <v>47</v>
      </c>
      <c r="H16" s="29" t="s">
        <v>47</v>
      </c>
      <c r="I16" s="19"/>
      <c r="J16" s="29"/>
      <c r="K16" s="33"/>
      <c r="L16" s="4" t="s">
        <v>110</v>
      </c>
      <c r="M16" s="21" t="b">
        <f t="shared" si="0"/>
        <v>1</v>
      </c>
    </row>
    <row r="17" spans="1:13" s="22" customFormat="1" ht="13.5" thickBot="1">
      <c r="A17" s="79" t="s">
        <v>53</v>
      </c>
      <c r="B17" s="39"/>
      <c r="C17" s="39"/>
      <c r="D17" s="39">
        <v>32</v>
      </c>
      <c r="E17" s="39"/>
      <c r="F17" s="40" t="s">
        <v>46</v>
      </c>
      <c r="G17" s="40" t="s">
        <v>47</v>
      </c>
      <c r="H17" s="40" t="s">
        <v>47</v>
      </c>
      <c r="I17" s="41"/>
      <c r="J17" s="40"/>
      <c r="K17" s="42"/>
      <c r="L17" s="8" t="s">
        <v>111</v>
      </c>
      <c r="M17" s="43" t="b">
        <f t="shared" si="0"/>
        <v>1</v>
      </c>
    </row>
  </sheetData>
  <conditionalFormatting sqref="A2">
    <cfRule type="cellIs" dxfId="11" priority="2" operator="equal">
      <formula>$M$2</formula>
    </cfRule>
  </conditionalFormatting>
  <conditionalFormatting sqref="A2">
    <cfRule type="cellIs" dxfId="10" priority="1" operator="equal">
      <formula>$M$2</formula>
    </cfRule>
  </conditionalFormatting>
  <hyperlinks>
    <hyperlink ref="L2" r:id="rId1" display="http://www.vugtk.cz/euradin/services/rest.py/CompileAddress/html?AddressPlaceId=&amp;SearchText=&amp;Street=Arnošta Valenty&amp;Locality=Praha&amp;HouseNumber=670&amp;ZIPCode=198 00&amp;LocalityPart=Černý most&amp;OrientationNumber=31&amp;RecordNumber=&amp;DistrictNumber=9"/>
    <hyperlink ref="L3" r:id="rId2" display="http://www.vugtk.cz/euradin/services/rest.py/CompileAddress/html?AddressPlaceId=&amp;SearchText=&amp;Street=Arnošta Valenty&amp;Locality=Praha&amp;HouseNumber=670&amp;ZIPCode=198 00&amp;LocalityPart=Černý most&amp;OrientationNumber=&amp;RecordNumber=&amp;DistrictNumber=9"/>
    <hyperlink ref="L4" r:id="rId3" display="http://www.vugtk.cz/euradin/services/rest.py/CompileAddress/html?AddressPlaceId=&amp;SearchText=&amp;Street=Medová&amp;Locality=Praha&amp;HouseNumber=&amp;ZIPCode=104 00&amp;LocalityPart=Křeslice&amp;OrientationNumber=&amp;RecordNumber=30&amp;DistrictNumber=10"/>
    <hyperlink ref="L5" r:id="rId4" display="http://www.vugtk.cz/euradin/services/rest.py/CompileAddress/html?AddressPlaceId=&amp;SearchText=&amp;Street=&amp;Locality=Praha&amp;HouseNumber=&amp;ZIPCode=104 00&amp;LocalityPart=Křeslice&amp;OrientationNumber=&amp;RecordNumber=42&amp;DistrictNumber=10"/>
    <hyperlink ref="L6" r:id="rId5" display="http://www.vugtk.cz/euradin/services/rest.py/CompileAddress/html?AddressPlaceId=&amp;SearchText=&amp;Street=Lhenická&amp;Locality=České Budějovice&amp;HouseNumber=1120&amp;ZIPCode=370 05&amp;LocalityPart=České Budějovice 2&amp;OrientationNumber=1&amp;RecordNumber=&amp;DistrictNumber="/>
    <hyperlink ref="L7" r:id="rId6" display="http://www.vugtk.cz/euradin/services/rest.py/CompileAddress/html?AddressPlaceId=&amp;SearchText=&amp;Street=Lhenická&amp;Locality=České Budějovice&amp;HouseNumber=1120&amp;ZIPCode=370 05&amp;LocalityPart=České Budějovice 2&amp;OrientationNumber=&amp;RecordNumber=&amp;DistrictNumber="/>
    <hyperlink ref="L8" r:id="rId7" display="http://www.vugtk.cz/euradin/services/rest.py/CompileAddress/html?AddressPlaceId=&amp;SearchText=&amp;Street=Lhenická&amp;Locality=České Budějovice&amp;HouseNumber=&amp;ZIPCode=370 05&amp;LocalityPart=České Budějovice 2&amp;OrientationNumber=&amp;RecordNumber=12&amp;DistrictNumber="/>
    <hyperlink ref="L9" r:id="rId8" display="http://www.vugtk.cz/euradin/services/rest.py/CompileAddress/html?AddressPlaceId=&amp;SearchText=&amp;Street=Žamberecká&amp;Locality=Vamberk&amp;HouseNumber=339&amp;ZIPCode=516 01&amp;LocalityPart=Vamberk&amp;OrientationNumber=&amp;RecordNumber=&amp;DistrictNumber="/>
    <hyperlink ref="L10" r:id="rId9" display="http://www.vugtk.cz/euradin/services/rest.py/CompileAddress/html?AddressPlaceId=&amp;SearchText=&amp;Street=Žamberecká&amp;Locality=Vamberk&amp;HouseNumber=339&amp;ZIPCode=516 01&amp;LocalityPart=Vamberk&amp;OrientationNumber=1&amp;RecordNumber=&amp;DistrictNumber="/>
    <hyperlink ref="L11" r:id="rId10" display="http://www.vugtk.cz/euradin/services/rest.py/CompileAddress/html?AddressPlaceId=&amp;SearchText=&amp;Street=Žamberecká&amp;Locality=Vamberk&amp;HouseNumber=&amp;ZIPCode=516 01&amp;LocalityPart=Vamberk&amp;OrientationNumber=&amp;RecordNumber=21&amp;DistrictNumber="/>
    <hyperlink ref="L12" r:id="rId11" display="http://www.vugtk.cz/euradin/services/rest.py/CompileAddress/html?AddressPlaceId=&amp;SearchText=&amp;Street=&amp;Locality=Pardubice&amp;HouseNumber=106&amp;ZIPCode=533 33&amp;LocalityPart=Dražkovice&amp;OrientationNumber=&amp;RecordNumber=&amp;DistrictNumber="/>
    <hyperlink ref="L13" r:id="rId12" display="http://www.vugtk.cz/euradin/services/rest.py/CompileAddress/html?AddressPlaceId=&amp;SearchText=&amp;Street=&amp;Locality=Pardubice&amp;HouseNumber=106&amp;ZIPCode=533 33&amp;LocalityPart=Dražkovice&amp;OrientationNumber=12&amp;RecordNumber=&amp;DistrictNumber="/>
    <hyperlink ref="L14" r:id="rId13" display="http://www.vugtk.cz/euradin/services/rest.py/CompileAddress/html?AddressPlaceId=&amp;SearchText=&amp;Street=&amp;Locality=Pardubice&amp;HouseNumber=&amp;ZIPCode=533 33&amp;LocalityPart=Dražkovice&amp;OrientationNumber=&amp;RecordNumber=32&amp;DistrictNumber="/>
    <hyperlink ref="L15" r:id="rId14" display="http://www.vugtk.cz/euradin/services/rest.py/CompileAddress/html?AddressPlaceId=&amp;SearchText=&amp;Street=&amp;Locality=Praskačka&amp;HouseNumber=111&amp;ZIPCode=503 33&amp;LocalityPart=Praskačka&amp;OrientationNumber=&amp;RecordNumber=&amp;DistrictNumber="/>
    <hyperlink ref="L16" r:id="rId15" display="http://www.vugtk.cz/euradin/services/rest.py/CompileAddress/html?AddressPlaceId=&amp;SearchText=&amp;Street=&amp;Locality=Praskačka&amp;HouseNumber=111&amp;ZIPCode=503 33&amp;LocalityPart=Praskačka&amp;OrientationNumber=1&amp;RecordNumber=&amp;DistrictNumber="/>
  </hyperlinks>
  <pageMargins left="0.7" right="0.7" top="0.78740157499999996" bottom="0.78740157499999996" header="0.3" footer="0.3"/>
  <pageSetup paperSize="9" orientation="portrait" r:id="rId16"/>
  <legacyDrawing r:id="rId17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3"/>
  <dimension ref="A21:G37"/>
  <sheetViews>
    <sheetView workbookViewId="0">
      <pane xSplit="1" topLeftCell="C1" activePane="topRight" state="frozen"/>
      <selection pane="topRight" activeCell="A11" sqref="A11"/>
    </sheetView>
  </sheetViews>
  <sheetFormatPr defaultRowHeight="11.25"/>
  <cols>
    <col min="1" max="1" width="55.5703125" style="22" customWidth="1"/>
    <col min="2" max="2" width="19.5703125" style="22" customWidth="1"/>
    <col min="3" max="3" width="17.5703125" style="22" customWidth="1"/>
    <col min="4" max="4" width="16.140625" style="22" customWidth="1"/>
    <col min="5" max="5" width="14" style="22" customWidth="1"/>
    <col min="6" max="6" width="66.7109375" style="22" customWidth="1"/>
    <col min="7" max="16384" width="9.140625" style="22"/>
  </cols>
  <sheetData>
    <row r="21" spans="1:7" ht="67.5" customHeight="1">
      <c r="A21" s="11" t="s">
        <v>62</v>
      </c>
      <c r="B21" s="12" t="s">
        <v>112</v>
      </c>
      <c r="C21" s="12" t="s">
        <v>115</v>
      </c>
      <c r="D21" s="12" t="s">
        <v>113</v>
      </c>
      <c r="E21" s="12" t="s">
        <v>114</v>
      </c>
      <c r="F21" s="12" t="s">
        <v>56</v>
      </c>
      <c r="G21" s="44"/>
    </row>
    <row r="22" spans="1:7">
      <c r="A22" s="45">
        <v>1</v>
      </c>
      <c r="B22" s="6"/>
      <c r="C22" s="6"/>
      <c r="D22" s="6"/>
      <c r="E22" s="6"/>
      <c r="F22" s="4" t="s">
        <v>123</v>
      </c>
      <c r="G22" s="21" t="b">
        <f>+D22=E22</f>
        <v>1</v>
      </c>
    </row>
    <row r="23" spans="1:7">
      <c r="A23" s="46">
        <v>2</v>
      </c>
      <c r="B23" s="24"/>
      <c r="C23" s="24"/>
      <c r="D23" s="24"/>
      <c r="E23" s="24"/>
      <c r="F23" s="5" t="s">
        <v>123</v>
      </c>
      <c r="G23" s="38" t="b">
        <f t="shared" ref="G23:G37" si="0">+D23=E23</f>
        <v>1</v>
      </c>
    </row>
    <row r="24" spans="1:7">
      <c r="A24" s="45">
        <v>3</v>
      </c>
      <c r="B24" s="29"/>
      <c r="C24" s="29"/>
      <c r="D24" s="29"/>
      <c r="E24" s="29"/>
      <c r="F24" s="4" t="s">
        <v>123</v>
      </c>
      <c r="G24" s="21" t="b">
        <f t="shared" si="0"/>
        <v>1</v>
      </c>
    </row>
    <row r="25" spans="1:7">
      <c r="A25" s="46">
        <v>4</v>
      </c>
      <c r="B25" s="24"/>
      <c r="C25" s="24"/>
      <c r="D25" s="24"/>
      <c r="E25" s="24"/>
      <c r="F25" s="5" t="s">
        <v>123</v>
      </c>
      <c r="G25" s="38" t="b">
        <f t="shared" si="0"/>
        <v>1</v>
      </c>
    </row>
    <row r="26" spans="1:7">
      <c r="A26" s="45">
        <v>5</v>
      </c>
      <c r="B26" s="29"/>
      <c r="C26" s="29"/>
      <c r="D26" s="29"/>
      <c r="E26" s="29"/>
      <c r="F26" s="4" t="s">
        <v>123</v>
      </c>
      <c r="G26" s="21" t="b">
        <f t="shared" si="0"/>
        <v>1</v>
      </c>
    </row>
    <row r="27" spans="1:7">
      <c r="A27" s="46">
        <v>6</v>
      </c>
      <c r="B27" s="35"/>
      <c r="C27" s="35"/>
      <c r="D27" s="35"/>
      <c r="E27" s="35"/>
      <c r="F27" s="7" t="s">
        <v>123</v>
      </c>
      <c r="G27" s="38" t="b">
        <f t="shared" si="0"/>
        <v>1</v>
      </c>
    </row>
    <row r="28" spans="1:7">
      <c r="A28" s="45">
        <v>7</v>
      </c>
      <c r="B28" s="29"/>
      <c r="C28" s="29"/>
      <c r="D28" s="29"/>
      <c r="E28" s="29"/>
      <c r="F28" s="4" t="s">
        <v>123</v>
      </c>
      <c r="G28" s="21" t="b">
        <f t="shared" si="0"/>
        <v>1</v>
      </c>
    </row>
    <row r="29" spans="1:7">
      <c r="A29" s="46">
        <v>8</v>
      </c>
      <c r="B29" s="35"/>
      <c r="C29" s="35"/>
      <c r="D29" s="35"/>
      <c r="E29" s="35"/>
      <c r="F29" s="7" t="s">
        <v>123</v>
      </c>
      <c r="G29" s="38" t="b">
        <f t="shared" si="0"/>
        <v>1</v>
      </c>
    </row>
    <row r="30" spans="1:7">
      <c r="A30" s="45">
        <v>9</v>
      </c>
      <c r="B30" s="29"/>
      <c r="C30" s="29"/>
      <c r="D30" s="29"/>
      <c r="E30" s="29"/>
      <c r="F30" s="4" t="s">
        <v>123</v>
      </c>
      <c r="G30" s="21" t="b">
        <f t="shared" si="0"/>
        <v>1</v>
      </c>
    </row>
    <row r="31" spans="1:7">
      <c r="A31" s="46">
        <v>10</v>
      </c>
      <c r="B31" s="35"/>
      <c r="C31" s="35"/>
      <c r="D31" s="35"/>
      <c r="E31" s="35"/>
      <c r="F31" s="7" t="s">
        <v>123</v>
      </c>
      <c r="G31" s="38" t="b">
        <f t="shared" si="0"/>
        <v>1</v>
      </c>
    </row>
    <row r="32" spans="1:7">
      <c r="A32" s="45">
        <v>11</v>
      </c>
      <c r="B32" s="6"/>
      <c r="C32" s="6"/>
      <c r="D32" s="6"/>
      <c r="E32" s="6"/>
      <c r="F32" s="4" t="s">
        <v>123</v>
      </c>
      <c r="G32" s="21" t="b">
        <f t="shared" si="0"/>
        <v>1</v>
      </c>
    </row>
    <row r="33" spans="1:7">
      <c r="A33" s="46">
        <v>12</v>
      </c>
      <c r="B33" s="36"/>
      <c r="C33" s="36"/>
      <c r="D33" s="36"/>
      <c r="E33" s="36"/>
      <c r="F33" s="7" t="s">
        <v>123</v>
      </c>
      <c r="G33" s="38" t="b">
        <f t="shared" si="0"/>
        <v>1</v>
      </c>
    </row>
    <row r="34" spans="1:7">
      <c r="A34" s="45">
        <v>13</v>
      </c>
      <c r="B34" s="6"/>
      <c r="C34" s="6"/>
      <c r="D34" s="6"/>
      <c r="E34" s="6"/>
      <c r="F34" s="4" t="s">
        <v>123</v>
      </c>
      <c r="G34" s="21" t="b">
        <f t="shared" si="0"/>
        <v>1</v>
      </c>
    </row>
    <row r="35" spans="1:7">
      <c r="A35" s="46">
        <v>14</v>
      </c>
      <c r="B35" s="36"/>
      <c r="C35" s="36"/>
      <c r="D35" s="36"/>
      <c r="E35" s="36"/>
      <c r="F35" s="7" t="s">
        <v>123</v>
      </c>
      <c r="G35" s="38" t="b">
        <f t="shared" si="0"/>
        <v>1</v>
      </c>
    </row>
    <row r="36" spans="1:7">
      <c r="A36" s="45">
        <v>15</v>
      </c>
      <c r="B36" s="6"/>
      <c r="C36" s="6"/>
      <c r="D36" s="6"/>
      <c r="E36" s="6"/>
      <c r="F36" s="4" t="s">
        <v>123</v>
      </c>
      <c r="G36" s="21" t="b">
        <f t="shared" si="0"/>
        <v>1</v>
      </c>
    </row>
    <row r="37" spans="1:7">
      <c r="A37" s="47">
        <v>16</v>
      </c>
      <c r="B37" s="48"/>
      <c r="C37" s="48"/>
      <c r="D37" s="48"/>
      <c r="E37" s="48"/>
      <c r="F37" s="10" t="s">
        <v>123</v>
      </c>
      <c r="G37" s="49" t="b">
        <f t="shared" si="0"/>
        <v>1</v>
      </c>
    </row>
  </sheetData>
  <conditionalFormatting sqref="A22 A24 A26 A28 A30 A32 A34 A36">
    <cfRule type="cellIs" dxfId="2" priority="2" operator="equal">
      <formula>$N$22</formula>
    </cfRule>
  </conditionalFormatting>
  <conditionalFormatting sqref="A22">
    <cfRule type="cellIs" dxfId="1" priority="1" operator="equal">
      <formula>$N$22</formula>
    </cfRule>
  </conditionalFormatting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List1"/>
  <dimension ref="B1:N21"/>
  <sheetViews>
    <sheetView zoomScale="115" zoomScaleNormal="115" workbookViewId="0">
      <pane xSplit="2" topLeftCell="C1" activePane="topRight" state="frozen"/>
      <selection pane="topRight" activeCell="A2" sqref="A2"/>
    </sheetView>
  </sheetViews>
  <sheetFormatPr defaultColWidth="8.85546875" defaultRowHeight="11.25"/>
  <cols>
    <col min="1" max="1" width="7.42578125" style="60" customWidth="1"/>
    <col min="2" max="2" width="92.7109375" style="60" customWidth="1"/>
    <col min="3" max="3" width="13.140625" style="60" customWidth="1"/>
    <col min="4" max="6" width="4.28515625" style="60" customWidth="1"/>
    <col min="7" max="7" width="8.28515625" style="60" customWidth="1"/>
    <col min="8" max="8" width="16.140625" style="60" customWidth="1"/>
    <col min="9" max="9" width="17.140625" style="60" customWidth="1"/>
    <col min="10" max="10" width="4" style="68" customWidth="1"/>
    <col min="11" max="11" width="57.42578125" style="60" customWidth="1"/>
    <col min="12" max="12" width="52.7109375" style="60" customWidth="1"/>
    <col min="13" max="13" width="87.5703125" style="60" customWidth="1"/>
    <col min="14" max="16384" width="8.85546875" style="60"/>
  </cols>
  <sheetData>
    <row r="1" spans="2:14" ht="92.25">
      <c r="B1" s="11" t="s">
        <v>62</v>
      </c>
      <c r="C1" s="12" t="s">
        <v>0</v>
      </c>
      <c r="D1" s="13" t="s">
        <v>1</v>
      </c>
      <c r="E1" s="13" t="s">
        <v>2</v>
      </c>
      <c r="F1" s="13" t="s">
        <v>3</v>
      </c>
      <c r="G1" s="12" t="s">
        <v>4</v>
      </c>
      <c r="H1" s="12" t="s">
        <v>5</v>
      </c>
      <c r="I1" s="12" t="s">
        <v>6</v>
      </c>
      <c r="J1" s="13" t="s">
        <v>7</v>
      </c>
      <c r="K1" s="12" t="s">
        <v>54</v>
      </c>
      <c r="L1" s="12" t="s">
        <v>55</v>
      </c>
      <c r="M1" s="12" t="s">
        <v>56</v>
      </c>
      <c r="N1" s="44"/>
    </row>
    <row r="2" spans="2:14">
      <c r="B2" s="18" t="s">
        <v>60</v>
      </c>
      <c r="C2" s="6" t="s">
        <v>8</v>
      </c>
      <c r="D2" s="6">
        <v>670</v>
      </c>
      <c r="E2" s="6"/>
      <c r="F2" s="6">
        <v>31</v>
      </c>
      <c r="G2" s="6" t="s">
        <v>9</v>
      </c>
      <c r="H2" s="6" t="s">
        <v>10</v>
      </c>
      <c r="I2" s="6" t="s">
        <v>11</v>
      </c>
      <c r="J2" s="19">
        <v>9</v>
      </c>
      <c r="K2" s="6" t="s">
        <v>12</v>
      </c>
      <c r="L2" s="20"/>
      <c r="M2" s="4" t="s">
        <v>124</v>
      </c>
      <c r="N2" s="21" t="b">
        <f>+L2=K2</f>
        <v>0</v>
      </c>
    </row>
    <row r="3" spans="2:14">
      <c r="B3" s="61" t="s">
        <v>59</v>
      </c>
      <c r="C3" s="24" t="s">
        <v>8</v>
      </c>
      <c r="D3" s="24">
        <v>670</v>
      </c>
      <c r="E3" s="25"/>
      <c r="F3" s="25"/>
      <c r="G3" s="24" t="s">
        <v>9</v>
      </c>
      <c r="H3" s="24" t="s">
        <v>10</v>
      </c>
      <c r="I3" s="24" t="s">
        <v>11</v>
      </c>
      <c r="J3" s="26">
        <v>9</v>
      </c>
      <c r="K3" s="24" t="s">
        <v>13</v>
      </c>
      <c r="L3" s="81"/>
      <c r="M3" s="5" t="s">
        <v>77</v>
      </c>
      <c r="N3" s="27" t="b">
        <f t="shared" ref="N3:N17" si="0">+L3=K3</f>
        <v>0</v>
      </c>
    </row>
    <row r="4" spans="2:14">
      <c r="B4" s="18" t="s">
        <v>58</v>
      </c>
      <c r="C4" s="29" t="s">
        <v>14</v>
      </c>
      <c r="D4" s="6"/>
      <c r="E4" s="30">
        <v>30</v>
      </c>
      <c r="F4" s="6"/>
      <c r="G4" s="29" t="s">
        <v>15</v>
      </c>
      <c r="H4" s="29" t="s">
        <v>10</v>
      </c>
      <c r="I4" s="29" t="s">
        <v>16</v>
      </c>
      <c r="J4" s="19">
        <v>10</v>
      </c>
      <c r="K4" s="29" t="s">
        <v>17</v>
      </c>
      <c r="L4" s="82"/>
      <c r="M4" s="4" t="s">
        <v>63</v>
      </c>
      <c r="N4" s="21" t="b">
        <f t="shared" si="0"/>
        <v>0</v>
      </c>
    </row>
    <row r="5" spans="2:14" ht="12.75">
      <c r="B5" s="61" t="s">
        <v>61</v>
      </c>
      <c r="C5" s="24"/>
      <c r="D5" s="25"/>
      <c r="E5" s="26">
        <v>42</v>
      </c>
      <c r="F5" s="31"/>
      <c r="G5" s="24" t="s">
        <v>15</v>
      </c>
      <c r="H5" s="24" t="s">
        <v>10</v>
      </c>
      <c r="I5" s="24" t="s">
        <v>16</v>
      </c>
      <c r="J5" s="26">
        <v>10</v>
      </c>
      <c r="K5" s="24" t="s">
        <v>18</v>
      </c>
      <c r="L5" s="83"/>
      <c r="M5" s="5" t="s">
        <v>64</v>
      </c>
      <c r="N5" s="27" t="b">
        <f t="shared" si="0"/>
        <v>0</v>
      </c>
    </row>
    <row r="6" spans="2:14" ht="12.75">
      <c r="B6" s="18" t="s">
        <v>24</v>
      </c>
      <c r="C6" s="29" t="s">
        <v>19</v>
      </c>
      <c r="D6" s="29">
        <v>1120</v>
      </c>
      <c r="E6" s="6"/>
      <c r="F6" s="29">
        <v>1</v>
      </c>
      <c r="G6" s="29" t="s">
        <v>20</v>
      </c>
      <c r="H6" s="29" t="s">
        <v>21</v>
      </c>
      <c r="I6" s="29" t="s">
        <v>22</v>
      </c>
      <c r="J6" s="19"/>
      <c r="K6" s="29" t="s">
        <v>23</v>
      </c>
      <c r="L6" s="83"/>
      <c r="M6" s="4" t="s">
        <v>65</v>
      </c>
      <c r="N6" s="21" t="b">
        <f t="shared" si="0"/>
        <v>0</v>
      </c>
    </row>
    <row r="7" spans="2:14" s="63" customFormat="1" ht="12.75">
      <c r="B7" s="62" t="s">
        <v>26</v>
      </c>
      <c r="C7" s="35" t="s">
        <v>19</v>
      </c>
      <c r="D7" s="36">
        <v>1120</v>
      </c>
      <c r="E7" s="36"/>
      <c r="F7" s="36"/>
      <c r="G7" s="36" t="s">
        <v>20</v>
      </c>
      <c r="H7" s="35" t="s">
        <v>21</v>
      </c>
      <c r="I7" s="35" t="s">
        <v>22</v>
      </c>
      <c r="J7" s="37"/>
      <c r="K7" s="35" t="s">
        <v>25</v>
      </c>
      <c r="L7" s="84"/>
      <c r="M7" s="7" t="s">
        <v>66</v>
      </c>
      <c r="N7" s="38" t="b">
        <f t="shared" si="0"/>
        <v>0</v>
      </c>
    </row>
    <row r="8" spans="2:14" ht="12.75">
      <c r="B8" s="18" t="s">
        <v>28</v>
      </c>
      <c r="C8" s="29" t="s">
        <v>19</v>
      </c>
      <c r="D8" s="6"/>
      <c r="E8" s="6">
        <v>12</v>
      </c>
      <c r="F8" s="6"/>
      <c r="G8" s="29" t="s">
        <v>20</v>
      </c>
      <c r="H8" s="29" t="s">
        <v>21</v>
      </c>
      <c r="I8" s="29" t="s">
        <v>22</v>
      </c>
      <c r="J8" s="19"/>
      <c r="K8" s="29" t="s">
        <v>27</v>
      </c>
      <c r="L8" s="83"/>
      <c r="M8" s="4" t="s">
        <v>67</v>
      </c>
      <c r="N8" s="21" t="b">
        <f t="shared" si="0"/>
        <v>0</v>
      </c>
    </row>
    <row r="9" spans="2:14" s="63" customFormat="1" ht="12.75">
      <c r="B9" s="62" t="s">
        <v>33</v>
      </c>
      <c r="C9" s="35" t="s">
        <v>29</v>
      </c>
      <c r="D9" s="36">
        <v>339</v>
      </c>
      <c r="E9" s="36"/>
      <c r="F9" s="36"/>
      <c r="G9" s="36" t="s">
        <v>30</v>
      </c>
      <c r="H9" s="35" t="s">
        <v>31</v>
      </c>
      <c r="I9" s="35" t="s">
        <v>31</v>
      </c>
      <c r="J9" s="37"/>
      <c r="K9" s="35" t="s">
        <v>32</v>
      </c>
      <c r="L9" s="84"/>
      <c r="M9" s="7" t="s">
        <v>68</v>
      </c>
      <c r="N9" s="38" t="b">
        <f t="shared" si="0"/>
        <v>0</v>
      </c>
    </row>
    <row r="10" spans="2:14" ht="12.75">
      <c r="B10" s="18" t="s">
        <v>35</v>
      </c>
      <c r="C10" s="29" t="s">
        <v>29</v>
      </c>
      <c r="D10" s="6">
        <v>339</v>
      </c>
      <c r="E10" s="6"/>
      <c r="F10" s="6">
        <v>1</v>
      </c>
      <c r="G10" s="29" t="s">
        <v>30</v>
      </c>
      <c r="H10" s="29" t="s">
        <v>31</v>
      </c>
      <c r="I10" s="29" t="s">
        <v>31</v>
      </c>
      <c r="J10" s="19"/>
      <c r="K10" s="29" t="s">
        <v>34</v>
      </c>
      <c r="L10" s="83"/>
      <c r="M10" s="4" t="s">
        <v>69</v>
      </c>
      <c r="N10" s="21" t="b">
        <f t="shared" si="0"/>
        <v>0</v>
      </c>
    </row>
    <row r="11" spans="2:14" s="63" customFormat="1" ht="12.75">
      <c r="B11" s="62" t="s">
        <v>57</v>
      </c>
      <c r="C11" s="35" t="s">
        <v>29</v>
      </c>
      <c r="D11" s="36"/>
      <c r="E11" s="36">
        <v>21</v>
      </c>
      <c r="F11" s="36"/>
      <c r="G11" s="36" t="s">
        <v>30</v>
      </c>
      <c r="H11" s="35" t="s">
        <v>31</v>
      </c>
      <c r="I11" s="35" t="s">
        <v>31</v>
      </c>
      <c r="J11" s="37"/>
      <c r="K11" s="35" t="s">
        <v>36</v>
      </c>
      <c r="L11" s="84"/>
      <c r="M11" s="7" t="s">
        <v>70</v>
      </c>
      <c r="N11" s="38" t="b">
        <f t="shared" si="0"/>
        <v>0</v>
      </c>
    </row>
    <row r="12" spans="2:14" ht="12.75">
      <c r="B12" s="18" t="s">
        <v>41</v>
      </c>
      <c r="C12" s="6"/>
      <c r="D12" s="6">
        <v>106</v>
      </c>
      <c r="E12" s="6"/>
      <c r="F12" s="6"/>
      <c r="G12" s="29" t="s">
        <v>37</v>
      </c>
      <c r="H12" s="29" t="s">
        <v>38</v>
      </c>
      <c r="I12" s="29" t="s">
        <v>39</v>
      </c>
      <c r="J12" s="19"/>
      <c r="K12" s="29" t="s">
        <v>40</v>
      </c>
      <c r="L12" s="83"/>
      <c r="M12" s="4" t="s">
        <v>71</v>
      </c>
      <c r="N12" s="21" t="b">
        <f t="shared" si="0"/>
        <v>0</v>
      </c>
    </row>
    <row r="13" spans="2:14" s="63" customFormat="1" ht="12.75">
      <c r="B13" s="62" t="s">
        <v>43</v>
      </c>
      <c r="C13" s="35"/>
      <c r="D13" s="36">
        <v>106</v>
      </c>
      <c r="E13" s="36"/>
      <c r="F13" s="36">
        <v>12</v>
      </c>
      <c r="G13" s="36" t="s">
        <v>37</v>
      </c>
      <c r="H13" s="35" t="s">
        <v>38</v>
      </c>
      <c r="I13" s="35" t="s">
        <v>39</v>
      </c>
      <c r="J13" s="37"/>
      <c r="K13" s="35" t="s">
        <v>42</v>
      </c>
      <c r="L13" s="84"/>
      <c r="M13" s="7" t="s">
        <v>72</v>
      </c>
      <c r="N13" s="38" t="b">
        <f t="shared" si="0"/>
        <v>0</v>
      </c>
    </row>
    <row r="14" spans="2:14" ht="12.75">
      <c r="B14" s="18" t="s">
        <v>45</v>
      </c>
      <c r="C14" s="6"/>
      <c r="D14" s="6"/>
      <c r="E14" s="6">
        <v>32</v>
      </c>
      <c r="F14" s="6"/>
      <c r="G14" s="29" t="s">
        <v>37</v>
      </c>
      <c r="H14" s="29" t="s">
        <v>38</v>
      </c>
      <c r="I14" s="29" t="s">
        <v>39</v>
      </c>
      <c r="J14" s="19"/>
      <c r="K14" s="29" t="s">
        <v>44</v>
      </c>
      <c r="L14" s="83"/>
      <c r="M14" s="4" t="s">
        <v>73</v>
      </c>
      <c r="N14" s="21" t="b">
        <f t="shared" si="0"/>
        <v>0</v>
      </c>
    </row>
    <row r="15" spans="2:14" s="63" customFormat="1" ht="12.75">
      <c r="B15" s="62" t="s">
        <v>49</v>
      </c>
      <c r="C15" s="35"/>
      <c r="D15" s="36">
        <v>111</v>
      </c>
      <c r="E15" s="36"/>
      <c r="F15" s="36"/>
      <c r="G15" s="36" t="s">
        <v>46</v>
      </c>
      <c r="H15" s="35" t="s">
        <v>47</v>
      </c>
      <c r="I15" s="35" t="s">
        <v>47</v>
      </c>
      <c r="J15" s="37"/>
      <c r="K15" s="35" t="s">
        <v>48</v>
      </c>
      <c r="L15" s="84"/>
      <c r="M15" s="7" t="s">
        <v>74</v>
      </c>
      <c r="N15" s="38" t="b">
        <f t="shared" si="0"/>
        <v>0</v>
      </c>
    </row>
    <row r="16" spans="2:14" ht="12.75">
      <c r="B16" s="18" t="s">
        <v>51</v>
      </c>
      <c r="C16" s="6"/>
      <c r="D16" s="6">
        <v>111</v>
      </c>
      <c r="E16" s="6"/>
      <c r="F16" s="6">
        <v>1</v>
      </c>
      <c r="G16" s="29" t="s">
        <v>46</v>
      </c>
      <c r="H16" s="29" t="s">
        <v>47</v>
      </c>
      <c r="I16" s="29" t="s">
        <v>47</v>
      </c>
      <c r="J16" s="19"/>
      <c r="K16" s="29" t="s">
        <v>50</v>
      </c>
      <c r="L16" s="83"/>
      <c r="M16" s="4" t="s">
        <v>75</v>
      </c>
      <c r="N16" s="21" t="b">
        <f t="shared" si="0"/>
        <v>0</v>
      </c>
    </row>
    <row r="17" spans="2:14" s="63" customFormat="1" ht="12.75">
      <c r="B17" s="64" t="s">
        <v>53</v>
      </c>
      <c r="C17" s="65"/>
      <c r="D17" s="48"/>
      <c r="E17" s="48">
        <v>32</v>
      </c>
      <c r="F17" s="48"/>
      <c r="G17" s="48" t="s">
        <v>46</v>
      </c>
      <c r="H17" s="65" t="s">
        <v>47</v>
      </c>
      <c r="I17" s="65" t="s">
        <v>47</v>
      </c>
      <c r="J17" s="66"/>
      <c r="K17" s="65" t="s">
        <v>52</v>
      </c>
      <c r="L17" s="85"/>
      <c r="M17" s="10" t="s">
        <v>76</v>
      </c>
      <c r="N17" s="49" t="b">
        <f t="shared" si="0"/>
        <v>0</v>
      </c>
    </row>
    <row r="18" spans="2:14">
      <c r="B18" s="6"/>
      <c r="C18" s="6"/>
      <c r="D18" s="6"/>
      <c r="E18" s="6"/>
      <c r="F18" s="6"/>
      <c r="G18" s="6"/>
      <c r="H18" s="6"/>
      <c r="I18" s="6"/>
      <c r="J18" s="19"/>
      <c r="K18" s="20"/>
      <c r="L18" s="6"/>
      <c r="M18" s="6"/>
    </row>
    <row r="19" spans="2:14">
      <c r="B19" s="6"/>
      <c r="C19" s="6"/>
      <c r="D19" s="6"/>
      <c r="E19" s="6"/>
      <c r="F19" s="6"/>
      <c r="G19" s="6"/>
      <c r="H19" s="6"/>
      <c r="I19" s="6"/>
      <c r="J19" s="19"/>
      <c r="K19" s="6"/>
      <c r="L19" s="6"/>
      <c r="M19" s="6"/>
    </row>
    <row r="20" spans="2:14">
      <c r="B20" s="6"/>
      <c r="C20" s="6"/>
      <c r="D20" s="6"/>
      <c r="E20" s="6"/>
      <c r="F20" s="6"/>
      <c r="G20" s="6"/>
      <c r="H20" s="6"/>
      <c r="I20" s="6"/>
      <c r="J20" s="19"/>
      <c r="K20" s="6"/>
      <c r="L20" s="6"/>
      <c r="M20" s="6"/>
    </row>
    <row r="21" spans="2:14">
      <c r="B21" s="6"/>
      <c r="C21" s="6"/>
      <c r="D21" s="6"/>
      <c r="E21" s="6"/>
      <c r="F21" s="6"/>
      <c r="G21" s="6"/>
      <c r="H21" s="6"/>
      <c r="I21" s="6"/>
      <c r="J21" s="67"/>
      <c r="K21" s="6"/>
      <c r="L21" s="6"/>
      <c r="M21" s="6"/>
    </row>
  </sheetData>
  <conditionalFormatting sqref="B2">
    <cfRule type="cellIs" dxfId="0" priority="1" operator="equal">
      <formula>$N$2</formula>
    </cfRule>
  </conditionalFormatting>
  <hyperlinks>
    <hyperlink ref="M2" r:id="rId1"/>
    <hyperlink ref="M3" r:id="rId2"/>
    <hyperlink ref="M4" r:id="rId3"/>
    <hyperlink ref="M5" r:id="rId4"/>
    <hyperlink ref="M6" r:id="rId5"/>
    <hyperlink ref="M7" r:id="rId6"/>
    <hyperlink ref="M8" r:id="rId7"/>
    <hyperlink ref="M9" r:id="rId8"/>
    <hyperlink ref="M10" r:id="rId9"/>
    <hyperlink ref="M11" r:id="rId10"/>
    <hyperlink ref="M12" r:id="rId11"/>
    <hyperlink ref="M13" r:id="rId12"/>
    <hyperlink ref="M14" r:id="rId13"/>
    <hyperlink ref="M15" r:id="rId14"/>
    <hyperlink ref="M16" r:id="rId15"/>
    <hyperlink ref="M17" r:id="rId16"/>
  </hyperlinks>
  <pageMargins left="0.7" right="0.7" top="0.78740157499999996" bottom="0.78740157499999996" header="0.3" footer="0.3"/>
  <pageSetup paperSize="9" orientation="portrait" r:id="rId17"/>
  <legacyDrawing r:id="rId18"/>
</worksheet>
</file>

<file path=xl/worksheets/sheet5.xml><?xml version="1.0" encoding="utf-8"?>
<worksheet xmlns="http://schemas.openxmlformats.org/spreadsheetml/2006/main" xmlns:r="http://schemas.openxmlformats.org/officeDocument/2006/relationships">
  <sheetPr codeName="List4"/>
  <dimension ref="A1:M17"/>
  <sheetViews>
    <sheetView workbookViewId="0">
      <pane xSplit="1" topLeftCell="J1" activePane="topRight" state="frozen"/>
      <selection pane="topRight" activeCell="J3" sqref="J3"/>
    </sheetView>
  </sheetViews>
  <sheetFormatPr defaultRowHeight="15"/>
  <cols>
    <col min="1" max="1" width="91.5703125" customWidth="1"/>
    <col min="2" max="2" width="13.140625" customWidth="1"/>
    <col min="3" max="5" width="4.28515625" customWidth="1"/>
    <col min="6" max="6" width="6.42578125" customWidth="1"/>
    <col min="7" max="7" width="12.7109375" customWidth="1"/>
    <col min="8" max="8" width="8.85546875"/>
    <col min="9" max="9" width="4" customWidth="1"/>
    <col min="10" max="10" width="43.5703125" customWidth="1"/>
    <col min="11" max="11" width="45.7109375" customWidth="1"/>
    <col min="12" max="12" width="142" customWidth="1"/>
    <col min="13" max="13" width="13.5703125" customWidth="1"/>
  </cols>
  <sheetData>
    <row r="1" spans="1:13" ht="93">
      <c r="A1" s="1" t="s">
        <v>62</v>
      </c>
      <c r="B1" s="2" t="s">
        <v>0</v>
      </c>
      <c r="C1" s="3" t="s">
        <v>1</v>
      </c>
      <c r="D1" s="69" t="s">
        <v>2</v>
      </c>
      <c r="E1" s="3" t="s">
        <v>3</v>
      </c>
      <c r="F1" s="2" t="s">
        <v>4</v>
      </c>
      <c r="G1" s="2" t="s">
        <v>5</v>
      </c>
      <c r="H1" s="2" t="s">
        <v>6</v>
      </c>
      <c r="I1" s="69" t="s">
        <v>7</v>
      </c>
      <c r="J1" s="9" t="s">
        <v>54</v>
      </c>
      <c r="K1" s="9" t="s">
        <v>55</v>
      </c>
      <c r="L1" s="2" t="s">
        <v>56</v>
      </c>
      <c r="M1" s="50"/>
    </row>
    <row r="2" spans="1:13">
      <c r="A2" s="18" t="s">
        <v>60</v>
      </c>
      <c r="B2" s="6" t="s">
        <v>8</v>
      </c>
      <c r="C2" s="6">
        <v>670</v>
      </c>
      <c r="D2" s="6"/>
      <c r="E2" s="6">
        <v>31</v>
      </c>
      <c r="F2" s="6" t="s">
        <v>9</v>
      </c>
      <c r="G2" s="6" t="s">
        <v>10</v>
      </c>
      <c r="H2" s="6" t="s">
        <v>11</v>
      </c>
      <c r="I2" s="19">
        <v>9</v>
      </c>
      <c r="J2" s="6" t="s">
        <v>12</v>
      </c>
      <c r="K2" s="22"/>
      <c r="L2" s="4" t="s">
        <v>78</v>
      </c>
      <c r="M2" s="51" t="b">
        <f>+K2=J2</f>
        <v>0</v>
      </c>
    </row>
    <row r="3" spans="1:13">
      <c r="A3" s="23" t="s">
        <v>59</v>
      </c>
      <c r="B3" s="24" t="s">
        <v>8</v>
      </c>
      <c r="C3" s="24">
        <v>670</v>
      </c>
      <c r="D3" s="25"/>
      <c r="E3" s="25"/>
      <c r="F3" s="24" t="s">
        <v>9</v>
      </c>
      <c r="G3" s="24" t="s">
        <v>10</v>
      </c>
      <c r="H3" s="24" t="s">
        <v>11</v>
      </c>
      <c r="I3" s="26">
        <v>9</v>
      </c>
      <c r="J3" s="24" t="s">
        <v>13</v>
      </c>
      <c r="K3" s="52"/>
      <c r="L3" s="5" t="s">
        <v>79</v>
      </c>
      <c r="M3" s="53" t="b">
        <f t="shared" ref="M3:M17" si="0">+K3=J3</f>
        <v>0</v>
      </c>
    </row>
    <row r="4" spans="1:13">
      <c r="A4" s="54" t="s">
        <v>58</v>
      </c>
      <c r="B4" s="29" t="s">
        <v>14</v>
      </c>
      <c r="C4" s="6"/>
      <c r="D4" s="30">
        <v>30</v>
      </c>
      <c r="E4" s="6"/>
      <c r="F4" s="29" t="s">
        <v>15</v>
      </c>
      <c r="G4" s="29" t="s">
        <v>10</v>
      </c>
      <c r="H4" s="29" t="s">
        <v>16</v>
      </c>
      <c r="I4" s="19">
        <v>10</v>
      </c>
      <c r="J4" s="29" t="s">
        <v>17</v>
      </c>
      <c r="K4" s="22"/>
      <c r="L4" s="4" t="s">
        <v>80</v>
      </c>
      <c r="M4" s="51" t="b">
        <f t="shared" si="0"/>
        <v>0</v>
      </c>
    </row>
    <row r="5" spans="1:13">
      <c r="A5" s="55" t="s">
        <v>61</v>
      </c>
      <c r="B5" s="24"/>
      <c r="C5" s="25"/>
      <c r="D5" s="26">
        <v>42</v>
      </c>
      <c r="E5" s="31"/>
      <c r="F5" s="24" t="s">
        <v>15</v>
      </c>
      <c r="G5" s="24" t="s">
        <v>10</v>
      </c>
      <c r="H5" s="24" t="s">
        <v>16</v>
      </c>
      <c r="I5" s="26">
        <v>10</v>
      </c>
      <c r="J5" s="24" t="s">
        <v>18</v>
      </c>
      <c r="K5" s="52"/>
      <c r="L5" s="5" t="s">
        <v>81</v>
      </c>
      <c r="M5" s="53" t="b">
        <f t="shared" si="0"/>
        <v>0</v>
      </c>
    </row>
    <row r="6" spans="1:13">
      <c r="A6" s="28" t="s">
        <v>24</v>
      </c>
      <c r="B6" s="29" t="s">
        <v>19</v>
      </c>
      <c r="C6" s="29">
        <v>1120</v>
      </c>
      <c r="D6" s="6"/>
      <c r="E6" s="29">
        <v>1</v>
      </c>
      <c r="F6" s="29" t="s">
        <v>20</v>
      </c>
      <c r="G6" s="29" t="s">
        <v>21</v>
      </c>
      <c r="H6" s="29" t="s">
        <v>22</v>
      </c>
      <c r="I6" s="19"/>
      <c r="J6" s="29" t="s">
        <v>23</v>
      </c>
      <c r="K6" s="22"/>
      <c r="L6" s="4" t="s">
        <v>82</v>
      </c>
      <c r="M6" s="51" t="b">
        <f t="shared" si="0"/>
        <v>0</v>
      </c>
    </row>
    <row r="7" spans="1:13">
      <c r="A7" s="34" t="s">
        <v>26</v>
      </c>
      <c r="B7" s="35" t="s">
        <v>19</v>
      </c>
      <c r="C7" s="36">
        <v>1120</v>
      </c>
      <c r="D7" s="36"/>
      <c r="E7" s="36"/>
      <c r="F7" s="36" t="s">
        <v>20</v>
      </c>
      <c r="G7" s="35" t="s">
        <v>21</v>
      </c>
      <c r="H7" s="35" t="s">
        <v>22</v>
      </c>
      <c r="I7" s="37"/>
      <c r="J7" s="35" t="s">
        <v>25</v>
      </c>
      <c r="K7" s="52"/>
      <c r="L7" s="7" t="s">
        <v>83</v>
      </c>
      <c r="M7" s="53" t="b">
        <f t="shared" si="0"/>
        <v>0</v>
      </c>
    </row>
    <row r="8" spans="1:13">
      <c r="A8" s="54" t="s">
        <v>28</v>
      </c>
      <c r="B8" s="29" t="s">
        <v>19</v>
      </c>
      <c r="C8" s="6"/>
      <c r="D8" s="6">
        <v>12</v>
      </c>
      <c r="E8" s="6"/>
      <c r="F8" s="29" t="s">
        <v>20</v>
      </c>
      <c r="G8" s="29" t="s">
        <v>21</v>
      </c>
      <c r="H8" s="29" t="s">
        <v>22</v>
      </c>
      <c r="I8" s="19"/>
      <c r="J8" s="29" t="s">
        <v>27</v>
      </c>
      <c r="K8" s="22"/>
      <c r="L8" s="4" t="s">
        <v>84</v>
      </c>
      <c r="M8" s="51" t="b">
        <f t="shared" si="0"/>
        <v>0</v>
      </c>
    </row>
    <row r="9" spans="1:13">
      <c r="A9" s="34" t="s">
        <v>33</v>
      </c>
      <c r="B9" s="35" t="s">
        <v>29</v>
      </c>
      <c r="C9" s="36">
        <v>339</v>
      </c>
      <c r="D9" s="36"/>
      <c r="E9" s="36"/>
      <c r="F9" s="35" t="s">
        <v>30</v>
      </c>
      <c r="G9" s="35" t="s">
        <v>31</v>
      </c>
      <c r="H9" s="35" t="s">
        <v>31</v>
      </c>
      <c r="I9" s="37"/>
      <c r="J9" s="35" t="s">
        <v>32</v>
      </c>
      <c r="K9" s="52"/>
      <c r="L9" s="7" t="s">
        <v>85</v>
      </c>
      <c r="M9" s="53" t="b">
        <f t="shared" si="0"/>
        <v>0</v>
      </c>
    </row>
    <row r="10" spans="1:13">
      <c r="A10" s="28" t="s">
        <v>35</v>
      </c>
      <c r="B10" s="29" t="s">
        <v>29</v>
      </c>
      <c r="C10" s="6">
        <v>339</v>
      </c>
      <c r="D10" s="6"/>
      <c r="E10" s="6">
        <v>1</v>
      </c>
      <c r="F10" s="29" t="s">
        <v>30</v>
      </c>
      <c r="G10" s="29" t="s">
        <v>31</v>
      </c>
      <c r="H10" s="29" t="s">
        <v>31</v>
      </c>
      <c r="I10" s="19"/>
      <c r="J10" s="29" t="s">
        <v>34</v>
      </c>
      <c r="K10" s="22"/>
      <c r="L10" s="4" t="s">
        <v>86</v>
      </c>
      <c r="M10" s="51" t="b">
        <f t="shared" si="0"/>
        <v>0</v>
      </c>
    </row>
    <row r="11" spans="1:13">
      <c r="A11" s="56" t="s">
        <v>57</v>
      </c>
      <c r="B11" s="35" t="s">
        <v>29</v>
      </c>
      <c r="C11" s="36"/>
      <c r="D11" s="36">
        <v>21</v>
      </c>
      <c r="E11" s="36"/>
      <c r="F11" s="35" t="s">
        <v>30</v>
      </c>
      <c r="G11" s="35" t="s">
        <v>31</v>
      </c>
      <c r="H11" s="35" t="s">
        <v>31</v>
      </c>
      <c r="I11" s="37"/>
      <c r="J11" s="35" t="s">
        <v>36</v>
      </c>
      <c r="K11" s="52"/>
      <c r="L11" s="7" t="s">
        <v>87</v>
      </c>
      <c r="M11" s="53" t="b">
        <f t="shared" si="0"/>
        <v>0</v>
      </c>
    </row>
    <row r="12" spans="1:13">
      <c r="A12" s="28" t="s">
        <v>41</v>
      </c>
      <c r="B12" s="6"/>
      <c r="C12" s="6">
        <v>106</v>
      </c>
      <c r="D12" s="6"/>
      <c r="E12" s="6"/>
      <c r="F12" s="29" t="s">
        <v>37</v>
      </c>
      <c r="G12" s="29" t="s">
        <v>38</v>
      </c>
      <c r="H12" s="29" t="s">
        <v>39</v>
      </c>
      <c r="I12" s="19"/>
      <c r="J12" s="29" t="s">
        <v>40</v>
      </c>
      <c r="K12" s="22"/>
      <c r="L12" s="4" t="s">
        <v>88</v>
      </c>
      <c r="M12" s="51" t="b">
        <f t="shared" si="0"/>
        <v>0</v>
      </c>
    </row>
    <row r="13" spans="1:13">
      <c r="A13" s="34" t="s">
        <v>43</v>
      </c>
      <c r="B13" s="36"/>
      <c r="C13" s="36">
        <v>106</v>
      </c>
      <c r="D13" s="36"/>
      <c r="E13" s="36">
        <v>12</v>
      </c>
      <c r="F13" s="35" t="s">
        <v>37</v>
      </c>
      <c r="G13" s="35" t="s">
        <v>38</v>
      </c>
      <c r="H13" s="35" t="s">
        <v>39</v>
      </c>
      <c r="I13" s="37"/>
      <c r="J13" s="35" t="s">
        <v>42</v>
      </c>
      <c r="K13" s="52"/>
      <c r="L13" s="7" t="s">
        <v>89</v>
      </c>
      <c r="M13" s="53" t="b">
        <f t="shared" si="0"/>
        <v>0</v>
      </c>
    </row>
    <row r="14" spans="1:13">
      <c r="A14" s="54" t="s">
        <v>45</v>
      </c>
      <c r="B14" s="6"/>
      <c r="C14" s="6"/>
      <c r="D14" s="6">
        <v>32</v>
      </c>
      <c r="E14" s="6"/>
      <c r="F14" s="29" t="s">
        <v>37</v>
      </c>
      <c r="G14" s="29" t="s">
        <v>38</v>
      </c>
      <c r="H14" s="29" t="s">
        <v>39</v>
      </c>
      <c r="I14" s="19"/>
      <c r="J14" s="29" t="s">
        <v>44</v>
      </c>
      <c r="K14" s="22"/>
      <c r="L14" s="4" t="s">
        <v>90</v>
      </c>
      <c r="M14" s="51" t="b">
        <f t="shared" si="0"/>
        <v>0</v>
      </c>
    </row>
    <row r="15" spans="1:13">
      <c r="A15" s="34" t="s">
        <v>49</v>
      </c>
      <c r="B15" s="36"/>
      <c r="C15" s="36">
        <v>111</v>
      </c>
      <c r="D15" s="36"/>
      <c r="E15" s="36"/>
      <c r="F15" s="35" t="s">
        <v>46</v>
      </c>
      <c r="G15" s="35" t="s">
        <v>47</v>
      </c>
      <c r="H15" s="35" t="s">
        <v>47</v>
      </c>
      <c r="I15" s="37"/>
      <c r="J15" s="35" t="s">
        <v>48</v>
      </c>
      <c r="K15" s="52"/>
      <c r="L15" s="7" t="s">
        <v>91</v>
      </c>
      <c r="M15" s="53" t="b">
        <f t="shared" si="0"/>
        <v>0</v>
      </c>
    </row>
    <row r="16" spans="1:13">
      <c r="A16" s="28" t="s">
        <v>51</v>
      </c>
      <c r="B16" s="6"/>
      <c r="C16" s="6">
        <v>111</v>
      </c>
      <c r="D16" s="6"/>
      <c r="E16" s="6">
        <v>1</v>
      </c>
      <c r="F16" s="29" t="s">
        <v>46</v>
      </c>
      <c r="G16" s="29" t="s">
        <v>47</v>
      </c>
      <c r="H16" s="29" t="s">
        <v>47</v>
      </c>
      <c r="I16" s="19"/>
      <c r="J16" s="29" t="s">
        <v>50</v>
      </c>
      <c r="K16" s="22"/>
      <c r="L16" s="4" t="s">
        <v>92</v>
      </c>
      <c r="M16" s="51" t="b">
        <f t="shared" si="0"/>
        <v>0</v>
      </c>
    </row>
    <row r="17" spans="1:13">
      <c r="A17" s="57" t="s">
        <v>53</v>
      </c>
      <c r="B17" s="39"/>
      <c r="C17" s="39"/>
      <c r="D17" s="39">
        <v>32</v>
      </c>
      <c r="E17" s="39"/>
      <c r="F17" s="40" t="s">
        <v>46</v>
      </c>
      <c r="G17" s="40" t="s">
        <v>47</v>
      </c>
      <c r="H17" s="40" t="s">
        <v>47</v>
      </c>
      <c r="I17" s="41"/>
      <c r="J17" s="40" t="s">
        <v>52</v>
      </c>
      <c r="K17" s="58"/>
      <c r="L17" s="10" t="s">
        <v>93</v>
      </c>
      <c r="M17" s="59" t="b">
        <f t="shared" si="0"/>
        <v>0</v>
      </c>
    </row>
  </sheetData>
  <conditionalFormatting sqref="A2">
    <cfRule type="cellIs" dxfId="9" priority="3" operator="equal">
      <formula>$M$2</formula>
    </cfRule>
  </conditionalFormatting>
  <conditionalFormatting sqref="A2">
    <cfRule type="cellIs" dxfId="8" priority="2" operator="equal">
      <formula>$M$2</formula>
    </cfRule>
  </conditionalFormatting>
  <conditionalFormatting sqref="A2">
    <cfRule type="cellIs" dxfId="7" priority="1" operator="equal">
      <formula>$M$2</formula>
    </cfRule>
  </conditionalFormatting>
  <hyperlinks>
    <hyperlink ref="L2" r:id="rId1"/>
  </hyperlinks>
  <pageMargins left="0.7" right="0.7" top="0.78740157499999996" bottom="0.78740157499999996" header="0.3" footer="0.3"/>
  <pageSetup paperSize="9" orientation="portrait" verticalDpi="0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List5"/>
  <dimension ref="A1:H17"/>
  <sheetViews>
    <sheetView workbookViewId="0">
      <pane xSplit="1" topLeftCell="B1" activePane="topRight" state="frozen"/>
      <selection pane="topRight" activeCell="C19" sqref="C19"/>
    </sheetView>
  </sheetViews>
  <sheetFormatPr defaultRowHeight="15"/>
  <cols>
    <col min="1" max="1" width="77.140625" customWidth="1"/>
    <col min="2" max="2" width="19.5703125" customWidth="1"/>
    <col min="3" max="5" width="16.140625" customWidth="1"/>
    <col min="6" max="6" width="14" customWidth="1"/>
    <col min="7" max="7" width="68.5703125" customWidth="1"/>
  </cols>
  <sheetData>
    <row r="1" spans="1:8" ht="57" customHeight="1">
      <c r="A1" s="11" t="s">
        <v>62</v>
      </c>
      <c r="B1" s="12" t="s">
        <v>116</v>
      </c>
      <c r="C1" s="12" t="s">
        <v>117</v>
      </c>
      <c r="D1" s="12" t="s">
        <v>118</v>
      </c>
      <c r="E1" s="12" t="s">
        <v>119</v>
      </c>
      <c r="F1" s="12" t="s">
        <v>114</v>
      </c>
      <c r="G1" s="12" t="s">
        <v>56</v>
      </c>
      <c r="H1" s="17"/>
    </row>
    <row r="2" spans="1:8">
      <c r="A2" s="45">
        <v>1</v>
      </c>
      <c r="G2" s="4" t="s">
        <v>122</v>
      </c>
      <c r="H2" s="15" t="b">
        <f>+E2=F2</f>
        <v>1</v>
      </c>
    </row>
    <row r="3" spans="1:8">
      <c r="A3" s="46">
        <v>2</v>
      </c>
      <c r="B3" s="14"/>
      <c r="C3" s="14"/>
      <c r="D3" s="14"/>
      <c r="E3" s="14"/>
      <c r="F3" s="14"/>
      <c r="G3" s="4" t="s">
        <v>122</v>
      </c>
      <c r="H3" s="16" t="b">
        <f t="shared" ref="H3:H17" si="0">+E3=F3</f>
        <v>1</v>
      </c>
    </row>
    <row r="4" spans="1:8">
      <c r="A4" s="45">
        <v>3</v>
      </c>
      <c r="G4" s="4" t="s">
        <v>122</v>
      </c>
      <c r="H4" s="15" t="b">
        <f t="shared" si="0"/>
        <v>1</v>
      </c>
    </row>
    <row r="5" spans="1:8">
      <c r="A5" s="46">
        <v>4</v>
      </c>
      <c r="B5" s="14"/>
      <c r="C5" s="14"/>
      <c r="D5" s="14"/>
      <c r="E5" s="14"/>
      <c r="F5" s="14"/>
      <c r="G5" s="4" t="s">
        <v>122</v>
      </c>
      <c r="H5" s="16" t="b">
        <f t="shared" si="0"/>
        <v>1</v>
      </c>
    </row>
    <row r="6" spans="1:8">
      <c r="A6" s="45">
        <v>5</v>
      </c>
      <c r="G6" s="4" t="s">
        <v>122</v>
      </c>
      <c r="H6" s="15" t="b">
        <f t="shared" si="0"/>
        <v>1</v>
      </c>
    </row>
    <row r="7" spans="1:8">
      <c r="A7" s="46">
        <v>6</v>
      </c>
      <c r="B7" s="14"/>
      <c r="C7" s="14"/>
      <c r="D7" s="14"/>
      <c r="E7" s="14"/>
      <c r="F7" s="14"/>
      <c r="G7" s="4" t="s">
        <v>122</v>
      </c>
      <c r="H7" s="16" t="b">
        <f t="shared" si="0"/>
        <v>1</v>
      </c>
    </row>
    <row r="8" spans="1:8">
      <c r="A8" s="45">
        <v>7</v>
      </c>
      <c r="G8" s="4" t="s">
        <v>122</v>
      </c>
      <c r="H8" s="16" t="b">
        <f t="shared" si="0"/>
        <v>1</v>
      </c>
    </row>
    <row r="9" spans="1:8">
      <c r="A9" s="46">
        <v>8</v>
      </c>
      <c r="G9" s="4" t="s">
        <v>122</v>
      </c>
      <c r="H9" s="16" t="b">
        <f t="shared" si="0"/>
        <v>1</v>
      </c>
    </row>
    <row r="10" spans="1:8">
      <c r="A10" s="45">
        <v>9</v>
      </c>
      <c r="G10" s="4" t="s">
        <v>122</v>
      </c>
      <c r="H10" s="16" t="b">
        <f t="shared" si="0"/>
        <v>1</v>
      </c>
    </row>
    <row r="11" spans="1:8">
      <c r="A11" s="46">
        <v>10</v>
      </c>
      <c r="G11" s="4" t="s">
        <v>122</v>
      </c>
      <c r="H11" s="16" t="b">
        <f t="shared" si="0"/>
        <v>1</v>
      </c>
    </row>
    <row r="12" spans="1:8">
      <c r="A12" s="45">
        <v>11</v>
      </c>
      <c r="G12" s="4" t="s">
        <v>122</v>
      </c>
      <c r="H12" s="16" t="b">
        <f t="shared" si="0"/>
        <v>1</v>
      </c>
    </row>
    <row r="13" spans="1:8">
      <c r="A13" s="46">
        <v>12</v>
      </c>
      <c r="G13" s="4" t="s">
        <v>122</v>
      </c>
      <c r="H13" s="16" t="b">
        <f t="shared" si="0"/>
        <v>1</v>
      </c>
    </row>
    <row r="14" spans="1:8">
      <c r="A14" s="45">
        <v>13</v>
      </c>
      <c r="G14" s="4" t="s">
        <v>122</v>
      </c>
      <c r="H14" s="16" t="b">
        <f t="shared" si="0"/>
        <v>1</v>
      </c>
    </row>
    <row r="15" spans="1:8">
      <c r="A15" s="46">
        <v>14</v>
      </c>
      <c r="G15" s="4" t="s">
        <v>122</v>
      </c>
      <c r="H15" s="16" t="b">
        <f t="shared" si="0"/>
        <v>1</v>
      </c>
    </row>
    <row r="16" spans="1:8">
      <c r="A16" s="45">
        <v>15</v>
      </c>
      <c r="G16" s="4" t="s">
        <v>122</v>
      </c>
      <c r="H16" s="16" t="b">
        <f t="shared" si="0"/>
        <v>1</v>
      </c>
    </row>
    <row r="17" spans="1:8">
      <c r="A17" s="47">
        <v>16</v>
      </c>
      <c r="B17" s="70"/>
      <c r="C17" s="70"/>
      <c r="D17" s="70"/>
      <c r="E17" s="70"/>
      <c r="F17" s="70"/>
      <c r="G17" s="4" t="s">
        <v>122</v>
      </c>
      <c r="H17" s="71" t="b">
        <f t="shared" si="0"/>
        <v>1</v>
      </c>
    </row>
  </sheetData>
  <conditionalFormatting sqref="A2 A4 A6 A8 A10 A12 A14 A16">
    <cfRule type="cellIs" dxfId="6" priority="2" operator="equal">
      <formula>$N$2</formula>
    </cfRule>
  </conditionalFormatting>
  <conditionalFormatting sqref="A2">
    <cfRule type="cellIs" dxfId="5" priority="1" operator="equal">
      <formula>$N$2</formula>
    </cfRule>
  </conditionalFormatting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List6"/>
  <dimension ref="A1:F17"/>
  <sheetViews>
    <sheetView workbookViewId="0">
      <pane xSplit="1" topLeftCell="C1" activePane="topRight" state="frozen"/>
      <selection pane="topRight" activeCell="E19" sqref="E19"/>
    </sheetView>
  </sheetViews>
  <sheetFormatPr defaultRowHeight="15"/>
  <cols>
    <col min="1" max="1" width="77.140625" customWidth="1"/>
    <col min="2" max="2" width="19.5703125" customWidth="1"/>
    <col min="3" max="3" width="16.140625" customWidth="1"/>
    <col min="4" max="4" width="14" customWidth="1"/>
    <col min="5" max="5" width="65" customWidth="1"/>
  </cols>
  <sheetData>
    <row r="1" spans="1:6" ht="60.75" customHeight="1">
      <c r="A1" s="11" t="s">
        <v>62</v>
      </c>
      <c r="B1" s="12" t="s">
        <v>120</v>
      </c>
      <c r="C1" s="12" t="s">
        <v>119</v>
      </c>
      <c r="D1" s="12" t="s">
        <v>114</v>
      </c>
      <c r="E1" s="12" t="s">
        <v>56</v>
      </c>
      <c r="F1" s="73"/>
    </row>
    <row r="2" spans="1:6">
      <c r="A2" s="45">
        <v>1</v>
      </c>
      <c r="B2" s="22"/>
      <c r="C2" s="22"/>
      <c r="D2" s="22"/>
      <c r="E2" s="4" t="s">
        <v>121</v>
      </c>
      <c r="F2" s="51" t="b">
        <f>+C2=D2</f>
        <v>1</v>
      </c>
    </row>
    <row r="3" spans="1:6">
      <c r="A3" s="72">
        <v>2</v>
      </c>
      <c r="B3" s="52"/>
      <c r="C3" s="52"/>
      <c r="D3" s="52"/>
      <c r="E3" s="7" t="s">
        <v>121</v>
      </c>
      <c r="F3" s="53" t="b">
        <f t="shared" ref="F3:F17" si="0">+C3=D3</f>
        <v>1</v>
      </c>
    </row>
    <row r="4" spans="1:6">
      <c r="A4" s="45">
        <v>3</v>
      </c>
      <c r="B4" s="22"/>
      <c r="C4" s="22"/>
      <c r="D4" s="22"/>
      <c r="E4" s="4" t="s">
        <v>121</v>
      </c>
      <c r="F4" s="51" t="b">
        <f t="shared" si="0"/>
        <v>1</v>
      </c>
    </row>
    <row r="5" spans="1:6">
      <c r="A5" s="46">
        <v>4</v>
      </c>
      <c r="B5" s="52"/>
      <c r="C5" s="52"/>
      <c r="D5" s="52"/>
      <c r="E5" s="7" t="s">
        <v>121</v>
      </c>
      <c r="F5" s="53" t="b">
        <f t="shared" si="0"/>
        <v>1</v>
      </c>
    </row>
    <row r="6" spans="1:6">
      <c r="A6" s="45">
        <v>5</v>
      </c>
      <c r="B6" s="22"/>
      <c r="C6" s="22"/>
      <c r="D6" s="22"/>
      <c r="E6" s="4" t="s">
        <v>121</v>
      </c>
      <c r="F6" s="51" t="b">
        <f t="shared" si="0"/>
        <v>1</v>
      </c>
    </row>
    <row r="7" spans="1:6">
      <c r="A7" s="46">
        <v>6</v>
      </c>
      <c r="B7" s="52"/>
      <c r="C7" s="52"/>
      <c r="D7" s="52"/>
      <c r="E7" s="7" t="s">
        <v>121</v>
      </c>
      <c r="F7" s="53" t="b">
        <f t="shared" si="0"/>
        <v>1</v>
      </c>
    </row>
    <row r="8" spans="1:6">
      <c r="A8" s="45">
        <v>7</v>
      </c>
      <c r="B8" s="22"/>
      <c r="C8" s="22"/>
      <c r="D8" s="22"/>
      <c r="E8" s="4" t="s">
        <v>121</v>
      </c>
      <c r="F8" s="53" t="b">
        <f t="shared" si="0"/>
        <v>1</v>
      </c>
    </row>
    <row r="9" spans="1:6">
      <c r="A9" s="46">
        <v>8</v>
      </c>
      <c r="B9" s="52"/>
      <c r="C9" s="52"/>
      <c r="D9" s="52"/>
      <c r="E9" s="7" t="s">
        <v>121</v>
      </c>
      <c r="F9" s="53" t="b">
        <f t="shared" si="0"/>
        <v>1</v>
      </c>
    </row>
    <row r="10" spans="1:6">
      <c r="A10" s="45">
        <v>9</v>
      </c>
      <c r="B10" s="22"/>
      <c r="C10" s="22"/>
      <c r="D10" s="22"/>
      <c r="E10" s="4" t="s">
        <v>121</v>
      </c>
      <c r="F10" s="53" t="b">
        <f t="shared" si="0"/>
        <v>1</v>
      </c>
    </row>
    <row r="11" spans="1:6">
      <c r="A11" s="46">
        <v>10</v>
      </c>
      <c r="B11" s="52"/>
      <c r="C11" s="52"/>
      <c r="D11" s="52"/>
      <c r="E11" s="7" t="s">
        <v>121</v>
      </c>
      <c r="F11" s="53" t="b">
        <f t="shared" si="0"/>
        <v>1</v>
      </c>
    </row>
    <row r="12" spans="1:6">
      <c r="A12" s="45">
        <v>11</v>
      </c>
      <c r="B12" s="22"/>
      <c r="C12" s="22"/>
      <c r="D12" s="22"/>
      <c r="E12" s="4" t="s">
        <v>121</v>
      </c>
      <c r="F12" s="53" t="b">
        <f t="shared" si="0"/>
        <v>1</v>
      </c>
    </row>
    <row r="13" spans="1:6">
      <c r="A13" s="46">
        <v>12</v>
      </c>
      <c r="B13" s="52"/>
      <c r="C13" s="52"/>
      <c r="D13" s="52"/>
      <c r="E13" s="7" t="s">
        <v>121</v>
      </c>
      <c r="F13" s="53" t="b">
        <f t="shared" si="0"/>
        <v>1</v>
      </c>
    </row>
    <row r="14" spans="1:6">
      <c r="A14" s="45">
        <v>13</v>
      </c>
      <c r="B14" s="22"/>
      <c r="C14" s="22"/>
      <c r="D14" s="22"/>
      <c r="E14" s="4" t="s">
        <v>121</v>
      </c>
      <c r="F14" s="53" t="b">
        <f t="shared" si="0"/>
        <v>1</v>
      </c>
    </row>
    <row r="15" spans="1:6">
      <c r="A15" s="46">
        <v>14</v>
      </c>
      <c r="B15" s="52"/>
      <c r="C15" s="52"/>
      <c r="D15" s="52"/>
      <c r="E15" s="7" t="s">
        <v>121</v>
      </c>
      <c r="F15" s="53" t="b">
        <f t="shared" si="0"/>
        <v>1</v>
      </c>
    </row>
    <row r="16" spans="1:6">
      <c r="A16" s="45">
        <v>15</v>
      </c>
      <c r="B16" s="74"/>
      <c r="C16" s="74"/>
      <c r="D16" s="74"/>
      <c r="E16" s="4" t="s">
        <v>121</v>
      </c>
      <c r="F16" s="53" t="b">
        <f t="shared" si="0"/>
        <v>1</v>
      </c>
    </row>
    <row r="17" spans="1:6">
      <c r="A17" s="47">
        <v>16</v>
      </c>
      <c r="B17" s="58"/>
      <c r="C17" s="58"/>
      <c r="D17" s="58"/>
      <c r="E17" s="10" t="s">
        <v>121</v>
      </c>
      <c r="F17" s="59" t="b">
        <f t="shared" si="0"/>
        <v>1</v>
      </c>
    </row>
  </sheetData>
  <conditionalFormatting sqref="A2 A4 A6 A8 A10 A12 A14 A16">
    <cfRule type="cellIs" dxfId="4" priority="2" operator="equal">
      <formula>$N$2</formula>
    </cfRule>
  </conditionalFormatting>
  <conditionalFormatting sqref="A2">
    <cfRule type="cellIs" dxfId="3" priority="1" operator="equal">
      <formula>$N$2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7</vt:i4>
      </vt:variant>
    </vt:vector>
  </HeadingPairs>
  <TitlesOfParts>
    <vt:vector size="7" baseType="lpstr">
      <vt:lpstr>Úvod</vt:lpstr>
      <vt:lpstr>Geokódování</vt:lpstr>
      <vt:lpstr>Fulltextové vyhledávání</vt:lpstr>
      <vt:lpstr>Sestavení adresy</vt:lpstr>
      <vt:lpstr>Ověření adresy</vt:lpstr>
      <vt:lpstr>Blízké adresy</vt:lpstr>
      <vt:lpstr>Ověření identifikátoru adresy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Augustyn</dc:creator>
  <cp:lastModifiedBy>raugustyn</cp:lastModifiedBy>
  <dcterms:created xsi:type="dcterms:W3CDTF">2014-03-19T08:03:29Z</dcterms:created>
  <dcterms:modified xsi:type="dcterms:W3CDTF">2014-05-26T19:44:50Z</dcterms:modified>
</cp:coreProperties>
</file>